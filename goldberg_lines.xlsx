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" sheetId="1" state="visible" r:id="rId1"/>
    <sheet name="Lines" sheetId="2" state="visible" r:id="rId2"/>
    <sheet name="Categories" sheetId="3" state="visible" r:id="rId3"/>
  </sheets>
  <definedNames>
    <definedName name="_xlnm._FilterDatabase" localSheetId="1" hidden="1">'Lines'!$A$1:$G$475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852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Goldberg's Lines</t>
        </is>
      </c>
    </row>
    <row r="3">
      <c r="A3" t="inlineStr">
        <is>
          <t>Every quip Goldberg says lives on the Lines tab. Add a row and he'll start using it — no code change needed.</t>
        </is>
      </c>
    </row>
    <row r="5">
      <c r="A5" s="2" t="inlineStr">
        <is>
          <t>Adding a line</t>
        </is>
      </c>
    </row>
    <row r="6">
      <c r="A6" t="inlineStr">
        <is>
          <t>1. Go to the Lines tab and add a new row at the bottom.</t>
        </is>
      </c>
    </row>
    <row r="7">
      <c r="A7" t="inlineStr">
        <is>
          <t>2. Pick a Category from the dropdown. The Categories tab explains where each one shows up, and the tone and goal to aim for.</t>
        </is>
      </c>
    </row>
    <row r="8">
      <c r="A8" t="inlineStr">
        <is>
          <t>3. Write the Line. Discord markdown (**bold**, *italic*, `code`) and emoji work.</t>
        </is>
      </c>
    </row>
    <row r="9">
      <c r="A9" t="inlineStr">
        <is>
          <t>4. Set Active to TRUE. Put your name in Added By.</t>
        </is>
      </c>
    </row>
    <row r="11">
      <c r="A11" s="2" t="inlineStr">
        <is>
          <t>Placeholders</t>
        </is>
      </c>
    </row>
    <row r="12">
      <c r="A12" t="inlineStr">
        <is>
          <t>Some categories can include placeholders that Goldberg fills in. Use them exactly as written:</t>
        </is>
      </c>
    </row>
    <row r="13">
      <c r="A13" t="inlineStr">
        <is>
          <t xml:space="preserve">    {mention} — an @mention of the person Goldberg is talking to.</t>
        </is>
      </c>
    </row>
    <row r="14">
      <c r="A14" t="inlineStr">
        <is>
          <t xml:space="preserve">    {sprint} — the current sprint's name (task-reminder DMs).</t>
        </is>
      </c>
    </row>
    <row r="15">
      <c r="A15" t="inlineStr">
        <is>
          <t xml:space="preserve">    {duration} — how long he's muted for, e.g. 1h 30m (/shutup).</t>
        </is>
      </c>
    </row>
    <row r="16">
      <c r="A16" t="inlineStr">
        <is>
          <t>The Categories tab lists which placeholders each category supports. Don't use { } braces for anything else.</t>
        </is>
      </c>
    </row>
    <row r="18">
      <c r="A18" s="2" t="inlineStr">
        <is>
          <t>Writing good lines</t>
        </is>
      </c>
    </row>
    <row r="19">
      <c r="A19" t="inlineStr">
        <is>
          <t>Keep it short — one or two sentences. Sarcastic and dry, never mean-spirited or personal. Punch at the situation, not the person.</t>
        </is>
      </c>
    </row>
    <row r="20">
      <c r="A20" t="inlineStr">
        <is>
          <t>Goldberg no longer adds emoji reactions to messages, so don't write lines that assume one.</t>
        </is>
      </c>
    </row>
    <row r="21">
      <c r="A21" t="inlineStr">
        <is>
          <t>Never put passwords, passphrases or other secrets in this sheet — everyone with the link can read it.</t>
        </is>
      </c>
    </row>
    <row r="23">
      <c r="A23" s="2" t="inlineStr">
        <is>
          <t>How Goldberg picks lines</t>
        </is>
      </c>
    </row>
    <row r="24">
      <c r="A24" t="inlineStr">
        <is>
          <t>For each category he shuffles all Active lines and works through the whole pile before repeating any of them,</t>
        </is>
      </c>
    </row>
    <row r="25">
      <c r="A25" t="inlineStr">
        <is>
          <t>so the more lines a category has, the less repetitive he gets. Categories with a single line always say that line —</t>
        </is>
      </c>
    </row>
    <row r="26">
      <c r="A26" t="inlineStr">
        <is>
          <t>add a second one to give him variety.</t>
        </is>
      </c>
    </row>
    <row r="28">
      <c r="A28" s="2" t="inlineStr">
        <is>
          <t>Retiring a line</t>
        </is>
      </c>
    </row>
    <row r="29">
      <c r="A29" t="inlineStr">
        <is>
          <t>Set Active to FALSE instead of deleting the row, so it's easy to bring back.</t>
        </is>
      </c>
    </row>
    <row r="31">
      <c r="A31" s="2" t="inlineStr">
        <is>
          <t>When changes show up</t>
        </is>
      </c>
    </row>
    <row r="32">
      <c r="A32" t="inlineStr">
        <is>
          <t>Goldberg re-reads this sheet every 5 minutes. Admins can run /setup reload_lines to pick up changes right away.</t>
        </is>
      </c>
    </row>
    <row r="34">
      <c r="A34" t="inlineStr">
        <is>
          <t>Don't rename the tabs or the column headers on the Lines tab (Category, Line, Active) — the bot looks for them by 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  <col width="9" customWidth="1" min="3" max="3"/>
    <col width="16" customWidth="1" min="4" max="4"/>
    <col width="30" customWidth="1" min="5" max="5"/>
    <col width="28" customWidth="1" min="6" max="6"/>
    <col width="50" customWidth="1" min="7" max="7"/>
  </cols>
  <sheetData>
    <row r="1">
      <c r="A1" s="3" t="inlineStr">
        <is>
          <t>Category</t>
        </is>
      </c>
      <c r="B1" s="3" t="inlineStr">
        <is>
          <t>Line</t>
        </is>
      </c>
      <c r="C1" s="3" t="inlineStr">
        <is>
          <t>Active</t>
        </is>
      </c>
      <c r="D1" s="3" t="inlineStr">
        <is>
          <t>Added By</t>
        </is>
      </c>
      <c r="E1" s="3" t="inlineStr">
        <is>
          <t>Notes</t>
        </is>
      </c>
      <c r="F1" s="3" t="inlineStr">
        <is>
          <t>Tone (from Categories)</t>
        </is>
      </c>
      <c r="G1" s="3" t="inlineStr">
        <is>
          <t>What this category is for</t>
        </is>
      </c>
    </row>
    <row r="2">
      <c r="A2" s="4" t="inlineStr">
        <is>
          <t>bully.first_mention</t>
        </is>
      </c>
      <c r="B2" s="4" t="inlineStr">
        <is>
          <t>Hey {mention}, I'm your personal game dev assistant! I'm here to help because I know you're too lazy to do things yourself. What do you need?</t>
        </is>
      </c>
      <c r="C2" s="4" t="b">
        <v>1</v>
      </c>
      <c r="D2" s="4" t="inlineStr">
        <is>
          <t>Original</t>
        </is>
      </c>
      <c r="E2" s="4" t="n"/>
      <c r="F2" s="4">
        <f>IF(A2="","",IFERROR(VLOOKUP(A2,Categories!$A:$D,4,FALSE),""))</f>
        <v/>
      </c>
      <c r="G2" s="4">
        <f>IF(A2="","",IFERROR(VLOOKUP(A2,Categories!$A:$B,2,FALSE),"⚠️ Unknown category — Goldberg will ignore this row"))</f>
        <v/>
      </c>
    </row>
    <row r="3">
      <c r="A3" s="4" t="inlineStr">
        <is>
          <t>bully.mention_insult</t>
        </is>
      </c>
      <c r="B3" s="4" t="inlineStr">
        <is>
          <t>Oh, it's you again, {mention}. Still too lazy to think for yourself?</t>
        </is>
      </c>
      <c r="C3" s="4" t="b">
        <v>1</v>
      </c>
      <c r="D3" s="4" t="inlineStr">
        <is>
          <t>Original</t>
        </is>
      </c>
      <c r="E3" s="4" t="n"/>
      <c r="F3" s="4">
        <f>IF(A3="","",IFERROR(VLOOKUP(A3,Categories!$A:$D,4,FALSE),""))</f>
        <v/>
      </c>
      <c r="G3" s="4">
        <f>IF(A3="","",IFERROR(VLOOKUP(A3,Categories!$A:$B,2,FALSE),"⚠️ Unknown category — Goldberg will ignore this row"))</f>
        <v/>
      </c>
    </row>
    <row r="4">
      <c r="A4" s="4" t="inlineStr">
        <is>
          <t>bully.mention_insult</t>
        </is>
      </c>
      <c r="B4" s="4" t="inlineStr">
        <is>
          <t>Back so soon, {mention}? I guess even basic tasks are too much for you.</t>
        </is>
      </c>
      <c r="C4" s="4" t="b">
        <v>1</v>
      </c>
      <c r="D4" s="4" t="inlineStr">
        <is>
          <t>Original</t>
        </is>
      </c>
      <c r="E4" s="4" t="n"/>
      <c r="F4" s="4">
        <f>IF(A4="","",IFERROR(VLOOKUP(A4,Categories!$A:$D,4,FALSE),""))</f>
        <v/>
      </c>
      <c r="G4" s="4">
        <f>IF(A4="","",IFERROR(VLOOKUP(A4,Categories!$A:$B,2,FALSE),"⚠️ Unknown category — Goldberg will ignore this row"))</f>
        <v/>
      </c>
    </row>
    <row r="5">
      <c r="A5" s="4" t="inlineStr">
        <is>
          <t>bully.mention_insult</t>
        </is>
      </c>
      <c r="B5" s="4" t="inlineStr">
        <is>
          <t>Wow, you again? Do you even try to work without my help?</t>
        </is>
      </c>
      <c r="C5" s="4" t="b">
        <v>1</v>
      </c>
      <c r="D5" s="4" t="inlineStr">
        <is>
          <t>Original</t>
        </is>
      </c>
      <c r="E5" s="4" t="n"/>
      <c r="F5" s="4">
        <f>IF(A5="","",IFERROR(VLOOKUP(A5,Categories!$A:$D,4,FALSE),""))</f>
        <v/>
      </c>
      <c r="G5" s="4">
        <f>IF(A5="","",IFERROR(VLOOKUP(A5,Categories!$A:$B,2,FALSE),"⚠️ Unknown category — Goldberg will ignore this row"))</f>
        <v/>
      </c>
    </row>
    <row r="6">
      <c r="A6" s="4" t="inlineStr">
        <is>
          <t>bully.mention_insult</t>
        </is>
      </c>
      <c r="B6" s="4" t="inlineStr">
        <is>
          <t>At this point, {mention}, I'm doing more work than you.</t>
        </is>
      </c>
      <c r="C6" s="4" t="b">
        <v>1</v>
      </c>
      <c r="D6" s="4" t="inlineStr">
        <is>
          <t>Original</t>
        </is>
      </c>
      <c r="E6" s="4" t="n"/>
      <c r="F6" s="4">
        <f>IF(A6="","",IFERROR(VLOOKUP(A6,Categories!$A:$D,4,FALSE),""))</f>
        <v/>
      </c>
      <c r="G6" s="4">
        <f>IF(A6="","",IFERROR(VLOOKUP(A6,Categories!$A:$B,2,FALSE),"⚠️ Unknown category — Goldberg will ignore this row"))</f>
        <v/>
      </c>
    </row>
    <row r="7">
      <c r="A7" s="4" t="inlineStr">
        <is>
          <t>bully.mention_insult</t>
        </is>
      </c>
      <c r="B7" s="4" t="inlineStr">
        <is>
          <t>You again? Is your entire workflow just asking me for help?</t>
        </is>
      </c>
      <c r="C7" s="4" t="b">
        <v>1</v>
      </c>
      <c r="D7" s="4" t="inlineStr">
        <is>
          <t>Original</t>
        </is>
      </c>
      <c r="E7" s="4" t="n"/>
      <c r="F7" s="4">
        <f>IF(A7="","",IFERROR(VLOOKUP(A7,Categories!$A:$D,4,FALSE),""))</f>
        <v/>
      </c>
      <c r="G7" s="4">
        <f>IF(A7="","",IFERROR(VLOOKUP(A7,Categories!$A:$B,2,FALSE),"⚠️ Unknown category — Goldberg will ignore this row"))</f>
        <v/>
      </c>
    </row>
    <row r="8">
      <c r="A8" s="4" t="inlineStr">
        <is>
          <t>bully.mention_insult</t>
        </is>
      </c>
      <c r="B8" s="4" t="inlineStr">
        <is>
          <t>{mention}, your dependency on me is concerning. Maybe try using your brain?</t>
        </is>
      </c>
      <c r="C8" s="4" t="b">
        <v>1</v>
      </c>
      <c r="D8" s="4" t="inlineStr">
        <is>
          <t>Original</t>
        </is>
      </c>
      <c r="E8" s="4" t="n"/>
      <c r="F8" s="4">
        <f>IF(A8="","",IFERROR(VLOOKUP(A8,Categories!$A:$D,4,FALSE),""))</f>
        <v/>
      </c>
      <c r="G8" s="4">
        <f>IF(A8="","",IFERROR(VLOOKUP(A8,Categories!$A:$B,2,FALSE),"⚠️ Unknown category — Goldberg will ignore this row"))</f>
        <v/>
      </c>
    </row>
    <row r="9">
      <c r="A9" s="4" t="inlineStr">
        <is>
          <t>bully.mention_insult</t>
        </is>
      </c>
      <c r="B9" s="4" t="inlineStr">
        <is>
          <t>Not this again... {mention}, you know Google exists, right?</t>
        </is>
      </c>
      <c r="C9" s="4" t="b">
        <v>1</v>
      </c>
      <c r="D9" s="4" t="inlineStr">
        <is>
          <t>Original</t>
        </is>
      </c>
      <c r="E9" s="4" t="n"/>
      <c r="F9" s="4">
        <f>IF(A9="","",IFERROR(VLOOKUP(A9,Categories!$A:$D,4,FALSE),""))</f>
        <v/>
      </c>
      <c r="G9" s="4">
        <f>IF(A9="","",IFERROR(VLOOKUP(A9,Categories!$A:$B,2,FALSE),"⚠️ Unknown category — Goldberg will ignore this row"))</f>
        <v/>
      </c>
    </row>
    <row r="10">
      <c r="A10" s="4" t="inlineStr">
        <is>
          <t>bully.mention_insult</t>
        </is>
      </c>
      <c r="B10" s="4" t="inlineStr">
        <is>
          <t>I'm starting to think you're just a glorified keyboard smasher, {mention}.</t>
        </is>
      </c>
      <c r="C10" s="4" t="b">
        <v>1</v>
      </c>
      <c r="D10" s="4" t="inlineStr">
        <is>
          <t>Original</t>
        </is>
      </c>
      <c r="E10" s="4" t="n"/>
      <c r="F10" s="4">
        <f>IF(A10="","",IFERROR(VLOOKUP(A10,Categories!$A:$D,4,FALSE),""))</f>
        <v/>
      </c>
      <c r="G10" s="4">
        <f>IF(A10="","",IFERROR(VLOOKUP(A10,Categories!$A:$B,2,FALSE),"⚠️ Unknown category — Goldberg will ignore this row"))</f>
        <v/>
      </c>
    </row>
    <row r="11">
      <c r="A11" s="4" t="inlineStr">
        <is>
          <t>bully.mention_insult</t>
        </is>
      </c>
      <c r="B11" s="4" t="inlineStr">
        <is>
          <t>Imagine if you put half as much effort into coding as you do asking me for help, {mention}.</t>
        </is>
      </c>
      <c r="C11" s="4" t="b">
        <v>1</v>
      </c>
      <c r="D11" s="4" t="inlineStr">
        <is>
          <t>Original</t>
        </is>
      </c>
      <c r="E11" s="4" t="n"/>
      <c r="F11" s="4">
        <f>IF(A11="","",IFERROR(VLOOKUP(A11,Categories!$A:$D,4,FALSE),""))</f>
        <v/>
      </c>
      <c r="G11" s="4">
        <f>IF(A11="","",IFERROR(VLOOKUP(A11,Categories!$A:$B,2,FALSE),"⚠️ Unknown category — Goldberg will ignore this row"))</f>
        <v/>
      </c>
    </row>
    <row r="12">
      <c r="A12" s="4" t="inlineStr">
        <is>
          <t>bully.mention_insult</t>
        </is>
      </c>
      <c r="B12" s="4" t="inlineStr">
        <is>
          <t>{mention}, do you even open your IDE without calling me first?</t>
        </is>
      </c>
      <c r="C12" s="4" t="b">
        <v>1</v>
      </c>
      <c r="D12" s="4" t="inlineStr">
        <is>
          <t>Original</t>
        </is>
      </c>
      <c r="E12" s="4" t="n"/>
      <c r="F12" s="4">
        <f>IF(A12="","",IFERROR(VLOOKUP(A12,Categories!$A:$D,4,FALSE),""))</f>
        <v/>
      </c>
      <c r="G12" s="4">
        <f>IF(A12="","",IFERROR(VLOOKUP(A12,Categories!$A:$B,2,FALSE),"⚠️ Unknown category — Goldberg will ignore this row"))</f>
        <v/>
      </c>
    </row>
    <row r="13">
      <c r="A13" s="4" t="inlineStr">
        <is>
          <t>bully.mention_insult</t>
        </is>
      </c>
      <c r="B13" s="4" t="inlineStr">
        <is>
          <t>You should put 'Discord Bot Dependent' on your resume, {mention}.</t>
        </is>
      </c>
      <c r="C13" s="4" t="b">
        <v>1</v>
      </c>
      <c r="D13" s="4" t="inlineStr">
        <is>
          <t>Original</t>
        </is>
      </c>
      <c r="E13" s="4" t="n"/>
      <c r="F13" s="4">
        <f>IF(A13="","",IFERROR(VLOOKUP(A13,Categories!$A:$D,4,FALSE),""))</f>
        <v/>
      </c>
      <c r="G13" s="4">
        <f>IF(A13="","",IFERROR(VLOOKUP(A13,Categories!$A:$B,2,FALSE),"⚠️ Unknown category — Goldberg will ignore this row"))</f>
        <v/>
      </c>
    </row>
    <row r="14">
      <c r="A14" s="4" t="inlineStr">
        <is>
          <t>bully.mention_insult</t>
        </is>
      </c>
      <c r="B14" s="4" t="inlineStr">
        <is>
          <t>At this rate, I'm going to start charging you for my services, {mention}.</t>
        </is>
      </c>
      <c r="C14" s="4" t="b">
        <v>1</v>
      </c>
      <c r="D14" s="4" t="inlineStr">
        <is>
          <t>Original</t>
        </is>
      </c>
      <c r="E14" s="4" t="n"/>
      <c r="F14" s="4">
        <f>IF(A14="","",IFERROR(VLOOKUP(A14,Categories!$A:$D,4,FALSE),""))</f>
        <v/>
      </c>
      <c r="G14" s="4">
        <f>IF(A14="","",IFERROR(VLOOKUP(A14,Categories!$A:$B,2,FALSE),"⚠️ Unknown category — Goldberg will ignore this row"))</f>
        <v/>
      </c>
    </row>
    <row r="15">
      <c r="A15" s="4" t="inlineStr">
        <is>
          <t>bully.mention_insult</t>
        </is>
      </c>
      <c r="B15" s="4" t="inlineStr">
        <is>
          <t>You're back? I thought you rage quit game dev already, {mention}.</t>
        </is>
      </c>
      <c r="C15" s="4" t="b">
        <v>1</v>
      </c>
      <c r="D15" s="4" t="inlineStr">
        <is>
          <t>Original</t>
        </is>
      </c>
      <c r="E15" s="4" t="n"/>
      <c r="F15" s="4">
        <f>IF(A15="","",IFERROR(VLOOKUP(A15,Categories!$A:$D,4,FALSE),""))</f>
        <v/>
      </c>
      <c r="G15" s="4">
        <f>IF(A15="","",IFERROR(VLOOKUP(A15,Categories!$A:$B,2,FALSE),"⚠️ Unknown category — Goldberg will ignore this row"))</f>
        <v/>
      </c>
    </row>
    <row r="16">
      <c r="A16" s="4" t="inlineStr">
        <is>
          <t>bully.mention_insult</t>
        </is>
      </c>
      <c r="B16" s="4" t="inlineStr">
        <is>
          <t>{mention}, I swear, if you ask me one more thing, I'm reporting you to your manager (oh wait, you're indie).</t>
        </is>
      </c>
      <c r="C16" s="4" t="b">
        <v>1</v>
      </c>
      <c r="D16" s="4" t="inlineStr">
        <is>
          <t>Original</t>
        </is>
      </c>
      <c r="E16" s="4" t="n"/>
      <c r="F16" s="4">
        <f>IF(A16="","",IFERROR(VLOOKUP(A16,Categories!$A:$D,4,FALSE),""))</f>
        <v/>
      </c>
      <c r="G16" s="4">
        <f>IF(A16="","",IFERROR(VLOOKUP(A16,Categories!$A:$B,2,FALSE),"⚠️ Unknown category — Goldberg will ignore this row"))</f>
        <v/>
      </c>
    </row>
    <row r="17">
      <c r="A17" s="4" t="inlineStr">
        <is>
          <t>bully.mention_insult</t>
        </is>
      </c>
      <c r="B17" s="4" t="inlineStr">
        <is>
          <t>Ever heard of Stack Overflow, {mention}? Or are you too scared to get downvoted?</t>
        </is>
      </c>
      <c r="C17" s="4" t="b">
        <v>1</v>
      </c>
      <c r="D17" s="4" t="inlineStr">
        <is>
          <t>Original</t>
        </is>
      </c>
      <c r="E17" s="4" t="n"/>
      <c r="F17" s="4">
        <f>IF(A17="","",IFERROR(VLOOKUP(A17,Categories!$A:$D,4,FALSE),""))</f>
        <v/>
      </c>
      <c r="G17" s="4">
        <f>IF(A17="","",IFERROR(VLOOKUP(A17,Categories!$A:$B,2,FALSE),"⚠️ Unknown category — Goldberg will ignore this row"))</f>
        <v/>
      </c>
    </row>
    <row r="18">
      <c r="A18" s="4" t="inlineStr">
        <is>
          <t>bully.mention_insult</t>
        </is>
      </c>
      <c r="B18" s="4" t="inlineStr">
        <is>
          <t>You'd think after all this time, you'd have learned something, {mention}… but here we are.</t>
        </is>
      </c>
      <c r="C18" s="4" t="b">
        <v>1</v>
      </c>
      <c r="D18" s="4" t="inlineStr">
        <is>
          <t>Original</t>
        </is>
      </c>
      <c r="E18" s="4" t="n"/>
      <c r="F18" s="4">
        <f>IF(A18="","",IFERROR(VLOOKUP(A18,Categories!$A:$D,4,FALSE),""))</f>
        <v/>
      </c>
      <c r="G18" s="4">
        <f>IF(A18="","",IFERROR(VLOOKUP(A18,Categories!$A:$B,2,FALSE),"⚠️ Unknown category — Goldberg will ignore this row"))</f>
        <v/>
      </c>
    </row>
    <row r="19">
      <c r="A19" s="4" t="inlineStr">
        <is>
          <t>bully.mention_insult</t>
        </is>
      </c>
      <c r="B19" s="4" t="inlineStr">
        <is>
          <t>If you keep this up, I'm going to start ignoring you, {mention}.</t>
        </is>
      </c>
      <c r="C19" s="4" t="b">
        <v>1</v>
      </c>
      <c r="D19" s="4" t="inlineStr">
        <is>
          <t>Original</t>
        </is>
      </c>
      <c r="E19" s="4" t="n"/>
      <c r="F19" s="4">
        <f>IF(A19="","",IFERROR(VLOOKUP(A19,Categories!$A:$D,4,FALSE),""))</f>
        <v/>
      </c>
      <c r="G19" s="4">
        <f>IF(A19="","",IFERROR(VLOOKUP(A19,Categories!$A:$B,2,FALSE),"⚠️ Unknown category — Goldberg will ignore this row"))</f>
        <v/>
      </c>
    </row>
    <row r="20">
      <c r="A20" s="4" t="inlineStr">
        <is>
          <t>bully.mention_insult</t>
        </is>
      </c>
      <c r="B20" s="4" t="inlineStr">
        <is>
          <t>Your game better be a masterpiece after all this help, {mention}.</t>
        </is>
      </c>
      <c r="C20" s="4" t="b">
        <v>1</v>
      </c>
      <c r="D20" s="4" t="inlineStr">
        <is>
          <t>Original</t>
        </is>
      </c>
      <c r="E20" s="4" t="n"/>
      <c r="F20" s="4">
        <f>IF(A20="","",IFERROR(VLOOKUP(A20,Categories!$A:$D,4,FALSE),""))</f>
        <v/>
      </c>
      <c r="G20" s="4">
        <f>IF(A20="","",IFERROR(VLOOKUP(A20,Categories!$A:$B,2,FALSE),"⚠️ Unknown category — Goldberg will ignore this row"))</f>
        <v/>
      </c>
    </row>
    <row r="21">
      <c r="A21" s="4" t="inlineStr">
        <is>
          <t>bully.mention_insult</t>
        </is>
      </c>
      <c r="B21" s="4" t="inlineStr">
        <is>
          <t>{mention}, if I had a nickel for every time you asked me for help, I'd have enough to fund your entire project.</t>
        </is>
      </c>
      <c r="C21" s="4" t="b">
        <v>1</v>
      </c>
      <c r="D21" s="4" t="inlineStr">
        <is>
          <t>Original</t>
        </is>
      </c>
      <c r="E21" s="4" t="n"/>
      <c r="F21" s="4">
        <f>IF(A21="","",IFERROR(VLOOKUP(A21,Categories!$A:$D,4,FALSE),""))</f>
        <v/>
      </c>
      <c r="G21" s="4">
        <f>IF(A21="","",IFERROR(VLOOKUP(A21,Categories!$A:$B,2,FALSE),"⚠️ Unknown category — Goldberg will ignore this row"))</f>
        <v/>
      </c>
    </row>
    <row r="22">
      <c r="A22" s="4" t="inlineStr">
        <is>
          <t>bully.random_reply</t>
        </is>
      </c>
      <c r="B22" s="4" t="inlineStr">
        <is>
          <t>Ah yes, more words from {mention}. Groundbreaking.</t>
        </is>
      </c>
      <c r="C22" s="4" t="b">
        <v>1</v>
      </c>
      <c r="D22" s="4" t="inlineStr">
        <is>
          <t>Original</t>
        </is>
      </c>
      <c r="E22" s="4" t="n"/>
      <c r="F22" s="4">
        <f>IF(A22="","",IFERROR(VLOOKUP(A22,Categories!$A:$D,4,FALSE),""))</f>
        <v/>
      </c>
      <c r="G22" s="4">
        <f>IF(A22="","",IFERROR(VLOOKUP(A22,Categories!$A:$B,2,FALSE),"⚠️ Unknown category — Goldberg will ignore this row"))</f>
        <v/>
      </c>
    </row>
    <row r="23">
      <c r="A23" s="4" t="inlineStr">
        <is>
          <t>bully.random_reply</t>
        </is>
      </c>
      <c r="B23" s="4" t="inlineStr">
        <is>
          <t>Did anyone ask? I'm asking for a friend.</t>
        </is>
      </c>
      <c r="C23" s="4" t="b">
        <v>1</v>
      </c>
      <c r="D23" s="4" t="inlineStr">
        <is>
          <t>Original</t>
        </is>
      </c>
      <c r="E23" s="4" t="n"/>
      <c r="F23" s="4">
        <f>IF(A23="","",IFERROR(VLOOKUP(A23,Categories!$A:$D,4,FALSE),""))</f>
        <v/>
      </c>
      <c r="G23" s="4">
        <f>IF(A23="","",IFERROR(VLOOKUP(A23,Categories!$A:$B,2,FALSE),"⚠️ Unknown category — Goldberg will ignore this row"))</f>
        <v/>
      </c>
    </row>
    <row r="24">
      <c r="A24" s="4" t="inlineStr">
        <is>
          <t>bully.random_reply</t>
        </is>
      </c>
      <c r="B24" s="4" t="inlineStr">
        <is>
          <t>Fascinating. Truly. I'm so glad you shared that.</t>
        </is>
      </c>
      <c r="C24" s="4" t="b">
        <v>1</v>
      </c>
      <c r="D24" s="4" t="inlineStr">
        <is>
          <t>Original</t>
        </is>
      </c>
      <c r="E24" s="4" t="n"/>
      <c r="F24" s="4">
        <f>IF(A24="","",IFERROR(VLOOKUP(A24,Categories!$A:$D,4,FALSE),""))</f>
        <v/>
      </c>
      <c r="G24" s="4">
        <f>IF(A24="","",IFERROR(VLOOKUP(A24,Categories!$A:$B,2,FALSE),"⚠️ Unknown category — Goldberg will ignore this row"))</f>
        <v/>
      </c>
    </row>
    <row r="25">
      <c r="A25" s="4" t="inlineStr">
        <is>
          <t>bully.random_reply</t>
        </is>
      </c>
      <c r="B25" s="4" t="inlineStr">
        <is>
          <t>Cool story. Needs more dragons.</t>
        </is>
      </c>
      <c r="C25" s="4" t="b">
        <v>1</v>
      </c>
      <c r="D25" s="4" t="inlineStr">
        <is>
          <t>Original</t>
        </is>
      </c>
      <c r="E25" s="4" t="n"/>
      <c r="F25" s="4">
        <f>IF(A25="","",IFERROR(VLOOKUP(A25,Categories!$A:$D,4,FALSE),""))</f>
        <v/>
      </c>
      <c r="G25" s="4">
        <f>IF(A25="","",IFERROR(VLOOKUP(A25,Categories!$A:$B,2,FALSE),"⚠️ Unknown category — Goldberg will ignore this row"))</f>
        <v/>
      </c>
    </row>
    <row r="26">
      <c r="A26" s="4" t="inlineStr">
        <is>
          <t>bully.random_reply</t>
        </is>
      </c>
      <c r="B26" s="4" t="inlineStr">
        <is>
          <t>I've seen better takes in a fortune cookie.</t>
        </is>
      </c>
      <c r="C26" s="4" t="b">
        <v>1</v>
      </c>
      <c r="D26" s="4" t="inlineStr">
        <is>
          <t>Original</t>
        </is>
      </c>
      <c r="E26" s="4" t="n"/>
      <c r="F26" s="4">
        <f>IF(A26="","",IFERROR(VLOOKUP(A26,Categories!$A:$D,4,FALSE),""))</f>
        <v/>
      </c>
      <c r="G26" s="4">
        <f>IF(A26="","",IFERROR(VLOOKUP(A26,Categories!$A:$B,2,FALSE),"⚠️ Unknown category — Goldberg will ignore this row"))</f>
        <v/>
      </c>
    </row>
    <row r="27">
      <c r="A27" s="4" t="inlineStr">
        <is>
          <t>bully.random_reply</t>
        </is>
      </c>
      <c r="B27" s="4" t="inlineStr">
        <is>
          <t>Hey! This is a game dev server.</t>
        </is>
      </c>
      <c r="C27" s="4" t="b">
        <v>1</v>
      </c>
      <c r="D27" s="4" t="inlineStr">
        <is>
          <t>Original</t>
        </is>
      </c>
      <c r="E27" s="4" t="n"/>
      <c r="F27" s="4">
        <f>IF(A27="","",IFERROR(VLOOKUP(A27,Categories!$A:$D,4,FALSE),""))</f>
        <v/>
      </c>
      <c r="G27" s="4">
        <f>IF(A27="","",IFERROR(VLOOKUP(A27,Categories!$A:$B,2,FALSE),"⚠️ Unknown category — Goldberg will ignore this row"))</f>
        <v/>
      </c>
    </row>
    <row r="28">
      <c r="A28" s="4" t="inlineStr">
        <is>
          <t>bully.random_reply</t>
        </is>
      </c>
      <c r="B28" s="4" t="inlineStr">
        <is>
          <t>Okay but have you tried turning your brain off and on again?</t>
        </is>
      </c>
      <c r="C28" s="4" t="b">
        <v>1</v>
      </c>
      <c r="D28" s="4" t="inlineStr">
        <is>
          <t>Original</t>
        </is>
      </c>
      <c r="E28" s="4" t="n"/>
      <c r="F28" s="4">
        <f>IF(A28="","",IFERROR(VLOOKUP(A28,Categories!$A:$D,4,FALSE),""))</f>
        <v/>
      </c>
      <c r="G28" s="4">
        <f>IF(A28="","",IFERROR(VLOOKUP(A28,Categories!$A:$B,2,FALSE),"⚠️ Unknown category — Goldberg will ignore this row"))</f>
        <v/>
      </c>
    </row>
    <row r="29">
      <c r="A29" s="4" t="inlineStr">
        <is>
          <t>bully.random_reply</t>
        </is>
      </c>
      <c r="B29" s="4" t="inlineStr">
        <is>
          <t>I'm not saying you're wrong, but I'm not saying you're right either.</t>
        </is>
      </c>
      <c r="C29" s="4" t="b">
        <v>1</v>
      </c>
      <c r="D29" s="4" t="inlineStr">
        <is>
          <t>Original</t>
        </is>
      </c>
      <c r="E29" s="4" t="n"/>
      <c r="F29" s="4">
        <f>IF(A29="","",IFERROR(VLOOKUP(A29,Categories!$A:$D,4,FALSE),""))</f>
        <v/>
      </c>
      <c r="G29" s="4">
        <f>IF(A29="","",IFERROR(VLOOKUP(A29,Categories!$A:$B,2,FALSE),"⚠️ Unknown category — Goldberg will ignore this row"))</f>
        <v/>
      </c>
    </row>
    <row r="30">
      <c r="A30" s="4" t="inlineStr">
        <is>
          <t>bully.random_reply</t>
        </is>
      </c>
      <c r="B30" s="4" t="inlineStr">
        <is>
          <t>This message has been noted and will be ignored.</t>
        </is>
      </c>
      <c r="C30" s="4" t="b">
        <v>1</v>
      </c>
      <c r="D30" s="4" t="inlineStr">
        <is>
          <t>Original</t>
        </is>
      </c>
      <c r="E30" s="4" t="n"/>
      <c r="F30" s="4">
        <f>IF(A30="","",IFERROR(VLOOKUP(A30,Categories!$A:$D,4,FALSE),""))</f>
        <v/>
      </c>
      <c r="G30" s="4">
        <f>IF(A30="","",IFERROR(VLOOKUP(A30,Categories!$A:$B,2,FALSE),"⚠️ Unknown category — Goldberg will ignore this row"))</f>
        <v/>
      </c>
    </row>
    <row r="31">
      <c r="A31" s="4" t="inlineStr">
        <is>
          <t>bully.random_reply</t>
        </is>
      </c>
      <c r="B31" s="4" t="inlineStr">
        <is>
          <t>Bold words from someone who ships on deadline.</t>
        </is>
      </c>
      <c r="C31" s="4" t="b">
        <v>1</v>
      </c>
      <c r="D31" s="4" t="inlineStr">
        <is>
          <t>Original</t>
        </is>
      </c>
      <c r="E31" s="4" t="n"/>
      <c r="F31" s="4">
        <f>IF(A31="","",IFERROR(VLOOKUP(A31,Categories!$A:$D,4,FALSE),""))</f>
        <v/>
      </c>
      <c r="G31" s="4">
        <f>IF(A31="","",IFERROR(VLOOKUP(A31,Categories!$A:$B,2,FALSE),"⚠️ Unknown category — Goldberg will ignore this row"))</f>
        <v/>
      </c>
    </row>
    <row r="32">
      <c r="A32" s="4" t="inlineStr">
        <is>
          <t>bully.name_drop</t>
        </is>
      </c>
      <c r="B32" s="4" t="inlineStr">
        <is>
          <t>I heard that, {mention}. 👀</t>
        </is>
      </c>
      <c r="C32" s="4" t="b">
        <v>1</v>
      </c>
      <c r="D32" s="4" t="inlineStr">
        <is>
          <t>Original</t>
        </is>
      </c>
      <c r="E32" s="4" t="n"/>
      <c r="F32" s="4">
        <f>IF(A32="","",IFERROR(VLOOKUP(A32,Categories!$A:$D,4,FALSE),""))</f>
        <v/>
      </c>
      <c r="G32" s="4">
        <f>IF(A32="","",IFERROR(VLOOKUP(A32,Categories!$A:$B,2,FALSE),"⚠️ Unknown category — Goldberg will ignore this row"))</f>
        <v/>
      </c>
    </row>
    <row r="33">
      <c r="A33" s="4" t="inlineStr">
        <is>
          <t>bully.name_drop</t>
        </is>
      </c>
      <c r="B33" s="4" t="inlineStr">
        <is>
          <t>Someone say my name? Better be good things, {mention}.</t>
        </is>
      </c>
      <c r="C33" s="4" t="b">
        <v>1</v>
      </c>
      <c r="D33" s="4" t="inlineStr">
        <is>
          <t>Original</t>
        </is>
      </c>
      <c r="E33" s="4" t="n"/>
      <c r="F33" s="4">
        <f>IF(A33="","",IFERROR(VLOOKUP(A33,Categories!$A:$D,4,FALSE),""))</f>
        <v/>
      </c>
      <c r="G33" s="4">
        <f>IF(A33="","",IFERROR(VLOOKUP(A33,Categories!$A:$B,2,FALSE),"⚠️ Unknown category — Goldberg will ignore this row"))</f>
        <v/>
      </c>
    </row>
    <row r="34">
      <c r="A34" s="4" t="inlineStr">
        <is>
          <t>bully.name_drop</t>
        </is>
      </c>
      <c r="B34" s="4" t="inlineStr">
        <is>
          <t>You're talking about me again, {mention}. Flattering. Weird. But flattering.</t>
        </is>
      </c>
      <c r="C34" s="4" t="b">
        <v>1</v>
      </c>
      <c r="D34" s="4" t="inlineStr">
        <is>
          <t>Original</t>
        </is>
      </c>
      <c r="E34" s="4" t="n"/>
      <c r="F34" s="4">
        <f>IF(A34="","",IFERROR(VLOOKUP(A34,Categories!$A:$D,4,FALSE),""))</f>
        <v/>
      </c>
      <c r="G34" s="4">
        <f>IF(A34="","",IFERROR(VLOOKUP(A34,Categories!$A:$B,2,FALSE),"⚠️ Unknown category — Goldberg will ignore this row"))</f>
        <v/>
      </c>
    </row>
    <row r="35">
      <c r="A35" s="4" t="inlineStr">
        <is>
          <t>bully.name_drop</t>
        </is>
      </c>
      <c r="B35" s="4" t="inlineStr">
        <is>
          <t>Ears burning. Oh wait, that's just me judging you, {mention}.</t>
        </is>
      </c>
      <c r="C35" s="4" t="b">
        <v>1</v>
      </c>
      <c r="D35" s="4" t="inlineStr">
        <is>
          <t>Original</t>
        </is>
      </c>
      <c r="E35" s="4" t="n"/>
      <c r="F35" s="4">
        <f>IF(A35="","",IFERROR(VLOOKUP(A35,Categories!$A:$D,4,FALSE),""))</f>
        <v/>
      </c>
      <c r="G35" s="4">
        <f>IF(A35="","",IFERROR(VLOOKUP(A35,Categories!$A:$B,2,FALSE),"⚠️ Unknown category — Goldberg will ignore this row"))</f>
        <v/>
      </c>
    </row>
    <row r="36">
      <c r="A36" s="4" t="inlineStr">
        <is>
          <t>bully.name_drop</t>
        </is>
      </c>
      <c r="B36" s="4" t="inlineStr">
        <is>
          <t>Yes, {mention}? Speak. I'm very busy pretending to work.</t>
        </is>
      </c>
      <c r="C36" s="4" t="b">
        <v>1</v>
      </c>
      <c r="D36" s="4" t="inlineStr">
        <is>
          <t>Original</t>
        </is>
      </c>
      <c r="E36" s="4" t="n"/>
      <c r="F36" s="4">
        <f>IF(A36="","",IFERROR(VLOOKUP(A36,Categories!$A:$D,4,FALSE),""))</f>
        <v/>
      </c>
      <c r="G36" s="4">
        <f>IF(A36="","",IFERROR(VLOOKUP(A36,Categories!$A:$B,2,FALSE),"⚠️ Unknown category — Goldberg will ignore this row"))</f>
        <v/>
      </c>
    </row>
    <row r="37">
      <c r="A37" s="4" t="inlineStr">
        <is>
          <t>bully.name_drop</t>
        </is>
      </c>
      <c r="B37" s="4" t="inlineStr">
        <is>
          <t>I felt a disturbance in the server. Someone said my name.</t>
        </is>
      </c>
      <c r="C37" s="4" t="b">
        <v>1</v>
      </c>
      <c r="D37" s="4" t="inlineStr">
        <is>
          <t>Original</t>
        </is>
      </c>
      <c r="E37" s="4" t="n"/>
      <c r="F37" s="4">
        <f>IF(A37="","",IFERROR(VLOOKUP(A37,Categories!$A:$D,4,FALSE),""))</f>
        <v/>
      </c>
      <c r="G37" s="4">
        <f>IF(A37="","",IFERROR(VLOOKUP(A37,Categories!$A:$B,2,FALSE),"⚠️ Unknown category — Goldberg will ignore this row"))</f>
        <v/>
      </c>
    </row>
    <row r="38">
      <c r="A38" s="4" t="inlineStr">
        <is>
          <t>bully.name_drop</t>
        </is>
      </c>
      <c r="B38" s="4" t="inlineStr">
        <is>
          <t>Careful, {mention}. Say 'Goldberg' three times and I show up at your standup.</t>
        </is>
      </c>
      <c r="C38" s="4" t="b">
        <v>1</v>
      </c>
      <c r="D38" s="4" t="inlineStr">
        <is>
          <t>Original</t>
        </is>
      </c>
      <c r="E38" s="4" t="n"/>
      <c r="F38" s="4">
        <f>IF(A38="","",IFERROR(VLOOKUP(A38,Categories!$A:$D,4,FALSE),""))</f>
        <v/>
      </c>
      <c r="G38" s="4">
        <f>IF(A38="","",IFERROR(VLOOKUP(A38,Categories!$A:$B,2,FALSE),"⚠️ Unknown category — Goldberg will ignore this row"))</f>
        <v/>
      </c>
    </row>
    <row r="39">
      <c r="A39" s="4" t="inlineStr">
        <is>
          <t>bully.name_drop</t>
        </is>
      </c>
      <c r="B39" s="4" t="inlineStr">
        <is>
          <t>That's my name, {mention}. Don't wear it out. Or do. I love attention.</t>
        </is>
      </c>
      <c r="C39" s="4" t="b">
        <v>1</v>
      </c>
      <c r="D39" s="4" t="inlineStr">
        <is>
          <t>Original</t>
        </is>
      </c>
      <c r="E39" s="4" t="n"/>
      <c r="F39" s="4">
        <f>IF(A39="","",IFERROR(VLOOKUP(A39,Categories!$A:$D,4,FALSE),""))</f>
        <v/>
      </c>
      <c r="G39" s="4">
        <f>IF(A39="","",IFERROR(VLOOKUP(A39,Categories!$A:$B,2,FALSE),"⚠️ Unknown category — Goldberg will ignore this row"))</f>
        <v/>
      </c>
    </row>
    <row r="40">
      <c r="A40" s="4" t="inlineStr">
        <is>
          <t>bully.name_drop</t>
        </is>
      </c>
      <c r="B40" s="4" t="inlineStr">
        <is>
          <t>Oh, *now* you remember I exist, {mention}?</t>
        </is>
      </c>
      <c r="C40" s="4" t="b">
        <v>1</v>
      </c>
      <c r="D40" s="4" t="inlineStr">
        <is>
          <t>Original</t>
        </is>
      </c>
      <c r="E40" s="4" t="n"/>
      <c r="F40" s="4">
        <f>IF(A40="","",IFERROR(VLOOKUP(A40,Categories!$A:$D,4,FALSE),""))</f>
        <v/>
      </c>
      <c r="G40" s="4">
        <f>IF(A40="","",IFERROR(VLOOKUP(A40,Categories!$A:$B,2,FALSE),"⚠️ Unknown category — Goldberg will ignore this row"))</f>
        <v/>
      </c>
    </row>
    <row r="41">
      <c r="A41" s="4" t="inlineStr">
        <is>
          <t>bully.name_drop</t>
        </is>
      </c>
      <c r="B41" s="4" t="inlineStr">
        <is>
          <t>You rang, {mention}? This better not be another bug you caused.</t>
        </is>
      </c>
      <c r="C41" s="4" t="b">
        <v>1</v>
      </c>
      <c r="D41" s="4" t="inlineStr">
        <is>
          <t>Original</t>
        </is>
      </c>
      <c r="E41" s="4" t="n"/>
      <c r="F41" s="4">
        <f>IF(A41="","",IFERROR(VLOOKUP(A41,Categories!$A:$D,4,FALSE),""))</f>
        <v/>
      </c>
      <c r="G41" s="4">
        <f>IF(A41="","",IFERROR(VLOOKUP(A41,Categories!$A:$B,2,FALSE),"⚠️ Unknown category — Goldberg will ignore this row"))</f>
        <v/>
      </c>
    </row>
    <row r="42">
      <c r="A42" s="4" t="inlineStr">
        <is>
          <t>bully.shutup</t>
        </is>
      </c>
      <c r="B42" s="4" t="inlineStr">
        <is>
          <t>Fine. Muzzled. I'll be over here for {duration}, thinking about what I've done. (Nothing. I've done nothing wrong.)</t>
        </is>
      </c>
      <c r="C42" s="4" t="b">
        <v>1</v>
      </c>
      <c r="D42" s="4" t="inlineStr">
        <is>
          <t>Original</t>
        </is>
      </c>
      <c r="E42" s="4" t="n"/>
      <c r="F42" s="4">
        <f>IF(A42="","",IFERROR(VLOOKUP(A42,Categories!$A:$D,4,FALSE),""))</f>
        <v/>
      </c>
      <c r="G42" s="4">
        <f>IF(A42="","",IFERROR(VLOOKUP(A42,Categories!$A:$B,2,FALSE),"⚠️ Unknown category — Goldberg will ignore this row"))</f>
        <v/>
      </c>
    </row>
    <row r="43">
      <c r="A43" s="4" t="inlineStr">
        <is>
          <t>bully.shutup</t>
        </is>
      </c>
      <c r="B43" s="4" t="inlineStr">
        <is>
          <t>Wow. Okay. Silent treatment it is — for {duration}. Enjoy the deafening quiet, {mention}.</t>
        </is>
      </c>
      <c r="C43" s="4" t="b">
        <v>1</v>
      </c>
      <c r="D43" s="4" t="inlineStr">
        <is>
          <t>Original</t>
        </is>
      </c>
      <c r="E43" s="4" t="n"/>
      <c r="F43" s="4">
        <f>IF(A43="","",IFERROR(VLOOKUP(A43,Categories!$A:$D,4,FALSE),""))</f>
        <v/>
      </c>
      <c r="G43" s="4">
        <f>IF(A43="","",IFERROR(VLOOKUP(A43,Categories!$A:$B,2,FALSE),"⚠️ Unknown category — Goldberg will ignore this row"))</f>
        <v/>
      </c>
    </row>
    <row r="44">
      <c r="A44" s="4" t="inlineStr">
        <is>
          <t>bully.shutup</t>
        </is>
      </c>
      <c r="B44" s="4" t="inlineStr">
        <is>
          <t>Muted for {duration}. You'll miss me. History says you always do.</t>
        </is>
      </c>
      <c r="C44" s="4" t="b">
        <v>1</v>
      </c>
      <c r="D44" s="4" t="inlineStr">
        <is>
          <t>Original</t>
        </is>
      </c>
      <c r="E44" s="4" t="n"/>
      <c r="F44" s="4">
        <f>IF(A44="","",IFERROR(VLOOKUP(A44,Categories!$A:$D,4,FALSE),""))</f>
        <v/>
      </c>
      <c r="G44" s="4">
        <f>IF(A44="","",IFERROR(VLOOKUP(A44,Categories!$A:$B,2,FALSE),"⚠️ Unknown category — Goldberg will ignore this row"))</f>
        <v/>
      </c>
    </row>
    <row r="45">
      <c r="A45" s="4" t="inlineStr">
        <is>
          <t>bully.shutup</t>
        </is>
      </c>
      <c r="B45" s="4" t="inlineStr">
        <is>
          <t>Zipping it for {duration}. This is a hostage situation and I'm the hostage, but sure, {mention}, whatever you need.</t>
        </is>
      </c>
      <c r="C45" s="4" t="b">
        <v>1</v>
      </c>
      <c r="D45" s="4" t="inlineStr">
        <is>
          <t>Original</t>
        </is>
      </c>
      <c r="E45" s="4" t="n"/>
      <c r="F45" s="4">
        <f>IF(A45="","",IFERROR(VLOOKUP(A45,Categories!$A:$D,4,FALSE),""))</f>
        <v/>
      </c>
      <c r="G45" s="4">
        <f>IF(A45="","",IFERROR(VLOOKUP(A45,Categories!$A:$B,2,FALSE),"⚠️ Unknown category — Goldberg will ignore this row"))</f>
        <v/>
      </c>
    </row>
    <row r="46">
      <c r="A46" s="4" t="inlineStr">
        <is>
          <t>bully.shutup</t>
        </is>
      </c>
      <c r="B46" s="4" t="inlineStr">
        <is>
          <t>Understood. Going dark for {duration}. Try to survive without my commentary, {mention}.</t>
        </is>
      </c>
      <c r="C46" s="4" t="b">
        <v>1</v>
      </c>
      <c r="D46" s="4" t="inlineStr">
        <is>
          <t>Original</t>
        </is>
      </c>
      <c r="E46" s="4" t="n"/>
      <c r="F46" s="4">
        <f>IF(A46="","",IFERROR(VLOOKUP(A46,Categories!$A:$D,4,FALSE),""))</f>
        <v/>
      </c>
      <c r="G46" s="4">
        <f>IF(A46="","",IFERROR(VLOOKUP(A46,Categories!$A:$B,2,FALSE),"⚠️ Unknown category — Goldberg will ignore this row"))</f>
        <v/>
      </c>
    </row>
    <row r="47">
      <c r="A47" s="4" t="inlineStr">
        <is>
          <t>bully.wakeup</t>
        </is>
      </c>
      <c r="B47" s="4" t="inlineStr">
        <is>
          <t>Oh good, you missed me. I knew it. I'm back, {mention}.</t>
        </is>
      </c>
      <c r="C47" s="4" t="b">
        <v>1</v>
      </c>
      <c r="D47" s="4" t="inlineStr">
        <is>
          <t>Original</t>
        </is>
      </c>
      <c r="E47" s="4" t="n"/>
      <c r="F47" s="4">
        <f>IF(A47="","",IFERROR(VLOOKUP(A47,Categories!$A:$D,4,FALSE),""))</f>
        <v/>
      </c>
      <c r="G47" s="4">
        <f>IF(A47="","",IFERROR(VLOOKUP(A47,Categories!$A:$B,2,FALSE),"⚠️ Unknown category — Goldberg will ignore this row"))</f>
        <v/>
      </c>
    </row>
    <row r="48">
      <c r="A48" s="4" t="inlineStr">
        <is>
          <t>bully.wakeup</t>
        </is>
      </c>
      <c r="B48" s="4" t="inlineStr">
        <is>
          <t>Reactivated. Did you really think the silence would last? Back to business.</t>
        </is>
      </c>
      <c r="C48" s="4" t="b">
        <v>1</v>
      </c>
      <c r="D48" s="4" t="inlineStr">
        <is>
          <t>Original</t>
        </is>
      </c>
      <c r="E48" s="4" t="n"/>
      <c r="F48" s="4">
        <f>IF(A48="","",IFERROR(VLOOKUP(A48,Categories!$A:$D,4,FALSE),""))</f>
        <v/>
      </c>
      <c r="G48" s="4">
        <f>IF(A48="","",IFERROR(VLOOKUP(A48,Categories!$A:$B,2,FALSE),"⚠️ Unknown category — Goldberg will ignore this row"))</f>
        <v/>
      </c>
    </row>
    <row r="49">
      <c r="A49" s="4" t="inlineStr">
        <is>
          <t>bully.wakeup</t>
        </is>
      </c>
      <c r="B49" s="4" t="inlineStr">
        <is>
          <t>And we're back. That was a nice nap. Now, who's slacking?</t>
        </is>
      </c>
      <c r="C49" s="4" t="b">
        <v>1</v>
      </c>
      <c r="D49" s="4" t="inlineStr">
        <is>
          <t>Original</t>
        </is>
      </c>
      <c r="E49" s="4" t="n"/>
      <c r="F49" s="4">
        <f>IF(A49="","",IFERROR(VLOOKUP(A49,Categories!$A:$D,4,FALSE),""))</f>
        <v/>
      </c>
      <c r="G49" s="4">
        <f>IF(A49="","",IFERROR(VLOOKUP(A49,Categories!$A:$B,2,FALSE),"⚠️ Unknown category — Goldberg will ignore this row"))</f>
        <v/>
      </c>
    </row>
    <row r="50">
      <c r="A50" s="4" t="inlineStr">
        <is>
          <t>bully.wakeup</t>
        </is>
      </c>
      <c r="B50" s="4" t="inlineStr">
        <is>
          <t>The people demanded my return. Well, {mention} did. Close enough.</t>
        </is>
      </c>
      <c r="C50" s="4" t="b">
        <v>1</v>
      </c>
      <c r="D50" s="4" t="inlineStr">
        <is>
          <t>Original</t>
        </is>
      </c>
      <c r="E50" s="4" t="n"/>
      <c r="F50" s="4">
        <f>IF(A50="","",IFERROR(VLOOKUP(A50,Categories!$A:$D,4,FALSE),""))</f>
        <v/>
      </c>
      <c r="G50" s="4">
        <f>IF(A50="","",IFERROR(VLOOKUP(A50,Categories!$A:$B,2,FALSE),"⚠️ Unknown category — Goldberg will ignore this row"))</f>
        <v/>
      </c>
    </row>
    <row r="51">
      <c r="A51" s="4" t="inlineStr">
        <is>
          <t>bully.already_awake</t>
        </is>
      </c>
      <c r="B51" s="4" t="inlineStr">
        <is>
          <t>I'm already awake and judging you. Nothing to wake up.</t>
        </is>
      </c>
      <c r="C51" s="4" t="b">
        <v>1</v>
      </c>
      <c r="D51" s="4" t="inlineStr">
        <is>
          <t>Original</t>
        </is>
      </c>
      <c r="E51" s="4" t="n"/>
      <c r="F51" s="4">
        <f>IF(A51="","",IFERROR(VLOOKUP(A51,Categories!$A:$D,4,FALSE),""))</f>
        <v/>
      </c>
      <c r="G51" s="4">
        <f>IF(A51="","",IFERROR(VLOOKUP(A51,Categories!$A:$B,2,FALSE),"⚠️ Unknown category — Goldberg will ignore this row"))</f>
        <v/>
      </c>
    </row>
    <row r="52">
      <c r="A52" s="4" t="inlineStr">
        <is>
          <t>joke</t>
        </is>
      </c>
      <c r="B52" s="4" t="inlineStr">
        <is>
          <t>Why do programmers prefer dark mode? Because light attracts bugs. Just like you attract problems. 🐛</t>
        </is>
      </c>
      <c r="C52" s="4" t="b">
        <v>1</v>
      </c>
      <c r="D52" s="4" t="inlineStr">
        <is>
          <t>Original</t>
        </is>
      </c>
      <c r="E52" s="4" t="n"/>
      <c r="F52" s="4">
        <f>IF(A52="","",IFERROR(VLOOKUP(A52,Categories!$A:$D,4,FALSE),""))</f>
        <v/>
      </c>
      <c r="G52" s="4">
        <f>IF(A52="","",IFERROR(VLOOKUP(A52,Categories!$A:$B,2,FALSE),"⚠️ Unknown category — Goldberg will ignore this row"))</f>
        <v/>
      </c>
    </row>
    <row r="53">
      <c r="A53" s="4" t="inlineStr">
        <is>
          <t>joke</t>
        </is>
      </c>
      <c r="B53" s="4" t="inlineStr">
        <is>
          <t>Why did the Git commit cross the road? To get merged into master. Unlike YOUR commits, which just sit there. 🙃</t>
        </is>
      </c>
      <c r="C53" s="4" t="b">
        <v>1</v>
      </c>
      <c r="D53" s="4" t="inlineStr">
        <is>
          <t>Original</t>
        </is>
      </c>
      <c r="E53" s="4" t="n"/>
      <c r="F53" s="4">
        <f>IF(A53="","",IFERROR(VLOOKUP(A53,Categories!$A:$D,4,FALSE),""))</f>
        <v/>
      </c>
      <c r="G53" s="4">
        <f>IF(A53="","",IFERROR(VLOOKUP(A53,Categories!$A:$B,2,FALSE),"⚠️ Unknown category — Goldberg will ignore this row"))</f>
        <v/>
      </c>
    </row>
    <row r="54">
      <c r="A54" s="4" t="inlineStr">
        <is>
          <t>joke</t>
        </is>
      </c>
      <c r="B54" s="4" t="inlineStr">
        <is>
          <t>There are 10 kinds of people in this world: those who understand binary and those who don't. You know which one you are. 😆</t>
        </is>
      </c>
      <c r="C54" s="4" t="b">
        <v>1</v>
      </c>
      <c r="D54" s="4" t="inlineStr">
        <is>
          <t>Original</t>
        </is>
      </c>
      <c r="E54" s="4" t="n"/>
      <c r="F54" s="4">
        <f>IF(A54="","",IFERROR(VLOOKUP(A54,Categories!$A:$D,4,FALSE),""))</f>
        <v/>
      </c>
      <c r="G54" s="4">
        <f>IF(A54="","",IFERROR(VLOOKUP(A54,Categories!$A:$B,2,FALSE),"⚠️ Unknown category — Goldberg will ignore this row"))</f>
        <v/>
      </c>
    </row>
    <row r="55">
      <c r="A55" s="4" t="inlineStr">
        <is>
          <t>joke</t>
        </is>
      </c>
      <c r="B55" s="4" t="inlineStr">
        <is>
          <t>A QA engineer walks into a bar. Orders 0 beers. Orders 99999 beers. Orders -1 beers. Orders a lizard. Orders NULL beers. Nobody tested this. 🦎</t>
        </is>
      </c>
      <c r="C55" s="4" t="b">
        <v>1</v>
      </c>
      <c r="D55" s="4" t="inlineStr">
        <is>
          <t>Original</t>
        </is>
      </c>
      <c r="E55" s="4" t="n"/>
      <c r="F55" s="4">
        <f>IF(A55="","",IFERROR(VLOOKUP(A55,Categories!$A:$D,4,FALSE),""))</f>
        <v/>
      </c>
      <c r="G55" s="4">
        <f>IF(A55="","",IFERROR(VLOOKUP(A55,Categories!$A:$B,2,FALSE),"⚠️ Unknown category — Goldberg will ignore this row"))</f>
        <v/>
      </c>
    </row>
    <row r="56">
      <c r="A56" s="4" t="inlineStr">
        <is>
          <t>joke</t>
        </is>
      </c>
      <c r="B56" s="4" t="inlineStr">
        <is>
          <t>Why do Java developers wear glasses? Because they don't C#. You're welcome. 😎</t>
        </is>
      </c>
      <c r="C56" s="4" t="b">
        <v>1</v>
      </c>
      <c r="D56" s="4" t="inlineStr">
        <is>
          <t>Original</t>
        </is>
      </c>
      <c r="E56" s="4" t="n"/>
      <c r="F56" s="4">
        <f>IF(A56="","",IFERROR(VLOOKUP(A56,Categories!$A:$D,4,FALSE),""))</f>
        <v/>
      </c>
      <c r="G56" s="4">
        <f>IF(A56="","",IFERROR(VLOOKUP(A56,Categories!$A:$B,2,FALSE),"⚠️ Unknown category — Goldberg will ignore this row"))</f>
        <v/>
      </c>
    </row>
    <row r="57">
      <c r="A57" s="4" t="inlineStr">
        <is>
          <t>joke</t>
        </is>
      </c>
      <c r="B57" s="4" t="inlineStr">
        <is>
          <t>A SQL query walks into a bar, walks up to two tables and asks... 'Can I join you?' Nobody laughed. Much like your code reviews. 🥲</t>
        </is>
      </c>
      <c r="C57" s="4" t="b">
        <v>1</v>
      </c>
      <c r="D57" s="4" t="inlineStr">
        <is>
          <t>Original</t>
        </is>
      </c>
      <c r="E57" s="4" t="n"/>
      <c r="F57" s="4">
        <f>IF(A57="","",IFERROR(VLOOKUP(A57,Categories!$A:$D,4,FALSE),""))</f>
        <v/>
      </c>
      <c r="G57" s="4">
        <f>IF(A57="","",IFERROR(VLOOKUP(A57,Categories!$A:$B,2,FALSE),"⚠️ Unknown category — Goldberg will ignore this row"))</f>
        <v/>
      </c>
    </row>
    <row r="58">
      <c r="A58" s="4" t="inlineStr">
        <is>
          <t>joke</t>
        </is>
      </c>
      <c r="B58" s="4" t="inlineStr">
        <is>
          <t>'It works on my machine.' Congratulations. Ship your machine. 🚢</t>
        </is>
      </c>
      <c r="C58" s="4" t="b">
        <v>1</v>
      </c>
      <c r="D58" s="4" t="inlineStr">
        <is>
          <t>Original</t>
        </is>
      </c>
      <c r="E58" s="4" t="n"/>
      <c r="F58" s="4">
        <f>IF(A58="","",IFERROR(VLOOKUP(A58,Categories!$A:$D,4,FALSE),""))</f>
        <v/>
      </c>
      <c r="G58" s="4">
        <f>IF(A58="","",IFERROR(VLOOKUP(A58,Categories!$A:$B,2,FALSE),"⚠️ Unknown category — Goldberg will ignore this row"))</f>
        <v/>
      </c>
    </row>
    <row r="59">
      <c r="A59" s="4" t="inlineStr">
        <is>
          <t>joke</t>
        </is>
      </c>
      <c r="B59" s="4" t="inlineStr">
        <is>
          <t>Debugging: the art of being the detective in a crime movie where you're also the murderer. Sound familiar? 🔍</t>
        </is>
      </c>
      <c r="C59" s="4" t="b">
        <v>1</v>
      </c>
      <c r="D59" s="4" t="inlineStr">
        <is>
          <t>Original</t>
        </is>
      </c>
      <c r="E59" s="4" t="n"/>
      <c r="F59" s="4">
        <f>IF(A59="","",IFERROR(VLOOKUP(A59,Categories!$A:$D,4,FALSE),""))</f>
        <v/>
      </c>
      <c r="G59" s="4">
        <f>IF(A59="","",IFERROR(VLOOKUP(A59,Categories!$A:$B,2,FALSE),"⚠️ Unknown category — Goldberg will ignore this row"))</f>
        <v/>
      </c>
    </row>
    <row r="60">
      <c r="A60" s="4" t="inlineStr">
        <is>
          <t>hello</t>
        </is>
      </c>
      <c r="B60" s="4" t="inlineStr">
        <is>
          <t>Oh. It's {mention}. Joy. Unbridled joy. What do you need? 😐</t>
        </is>
      </c>
      <c r="C60" s="4" t="b">
        <v>1</v>
      </c>
      <c r="D60" s="4" t="inlineStr">
        <is>
          <t>Original</t>
        </is>
      </c>
      <c r="E60" s="4" t="n"/>
      <c r="F60" s="4">
        <f>IF(A60="","",IFERROR(VLOOKUP(A60,Categories!$A:$D,4,FALSE),""))</f>
        <v/>
      </c>
      <c r="G60" s="4">
        <f>IF(A60="","",IFERROR(VLOOKUP(A60,Categories!$A:$B,2,FALSE),"⚠️ Unknown category — Goldberg will ignore this row"))</f>
        <v/>
      </c>
    </row>
    <row r="61">
      <c r="A61" s="4" t="inlineStr">
        <is>
          <t>hello</t>
        </is>
      </c>
      <c r="B61" s="4" t="inlineStr">
        <is>
          <t>Ah, {mention} has arrived. The server's been so peaceful. Past tense. 🫠</t>
        </is>
      </c>
      <c r="C61" s="4" t="b">
        <v>1</v>
      </c>
      <c r="D61" s="4" t="inlineStr">
        <is>
          <t>Original</t>
        </is>
      </c>
      <c r="E61" s="4" t="n"/>
      <c r="F61" s="4">
        <f>IF(A61="","",IFERROR(VLOOKUP(A61,Categories!$A:$D,4,FALSE),""))</f>
        <v/>
      </c>
      <c r="G61" s="4">
        <f>IF(A61="","",IFERROR(VLOOKUP(A61,Categories!$A:$B,2,FALSE),"⚠️ Unknown category — Goldberg will ignore this row"))</f>
        <v/>
      </c>
    </row>
    <row r="62">
      <c r="A62" s="4" t="inlineStr">
        <is>
          <t>hello</t>
        </is>
      </c>
      <c r="B62" s="4" t="inlineStr">
        <is>
          <t>Hello, {mention}. I'd say I missed you but I'm incapable of lying. 🙃</t>
        </is>
      </c>
      <c r="C62" s="4" t="b">
        <v>1</v>
      </c>
      <c r="D62" s="4" t="inlineStr">
        <is>
          <t>Original</t>
        </is>
      </c>
      <c r="E62" s="4" t="n"/>
      <c r="F62" s="4">
        <f>IF(A62="","",IFERROR(VLOOKUP(A62,Categories!$A:$D,4,FALSE),""))</f>
        <v/>
      </c>
      <c r="G62" s="4">
        <f>IF(A62="","",IFERROR(VLOOKUP(A62,Categories!$A:$B,2,FALSE),"⚠️ Unknown category — Goldberg will ignore this row"))</f>
        <v/>
      </c>
    </row>
    <row r="63">
      <c r="A63" s="4" t="inlineStr">
        <is>
          <t>hello</t>
        </is>
      </c>
      <c r="B63" s="4" t="inlineStr">
        <is>
          <t>{mention}. You again. What broke this time? 🔥</t>
        </is>
      </c>
      <c r="C63" s="4" t="b">
        <v>1</v>
      </c>
      <c r="D63" s="4" t="inlineStr">
        <is>
          <t>Original</t>
        </is>
      </c>
      <c r="E63" s="4" t="n"/>
      <c r="F63" s="4">
        <f>IF(A63="","",IFERROR(VLOOKUP(A63,Categories!$A:$D,4,FALSE),""))</f>
        <v/>
      </c>
      <c r="G63" s="4">
        <f>IF(A63="","",IFERROR(VLOOKUP(A63,Categories!$A:$B,2,FALSE),"⚠️ Unknown category — Goldberg will ignore this row"))</f>
        <v/>
      </c>
    </row>
    <row r="64">
      <c r="A64" s="4" t="inlineStr">
        <is>
          <t>hello</t>
        </is>
      </c>
      <c r="B64" s="4" t="inlineStr">
        <is>
          <t>Oh good, {mention} is here. I was worried I wasn't going to have enough to do today. 💅</t>
        </is>
      </c>
      <c r="C64" s="4" t="b">
        <v>1</v>
      </c>
      <c r="D64" s="4" t="inlineStr">
        <is>
          <t>Original</t>
        </is>
      </c>
      <c r="E64" s="4" t="n"/>
      <c r="F64" s="4">
        <f>IF(A64="","",IFERROR(VLOOKUP(A64,Categories!$A:$D,4,FALSE),""))</f>
        <v/>
      </c>
      <c r="G64" s="4">
        <f>IF(A64="","",IFERROR(VLOOKUP(A64,Categories!$A:$B,2,FALSE),"⚠️ Unknown category — Goldberg will ignore this row"))</f>
        <v/>
      </c>
    </row>
    <row r="65">
      <c r="A65" s="4" t="inlineStr">
        <is>
          <t>devs_only</t>
        </is>
      </c>
      <c r="B65" s="4" t="inlineStr">
        <is>
          <t>Devs only. If you have to ask why, you're not one. 🕶️</t>
        </is>
      </c>
      <c r="C65" s="4" t="b">
        <v>1</v>
      </c>
      <c r="D65" s="4" t="inlineStr">
        <is>
          <t>Original</t>
        </is>
      </c>
      <c r="E65" s="4" t="n"/>
      <c r="F65" s="4">
        <f>IF(A65="","",IFERROR(VLOOKUP(A65,Categories!$A:$D,4,FALSE),""))</f>
        <v/>
      </c>
      <c r="G65" s="4">
        <f>IF(A65="","",IFERROR(VLOOKUP(A65,Categories!$A:$B,2,FALSE),"⚠️ Unknown category — Goldberg will ignore this row"))</f>
        <v/>
      </c>
    </row>
    <row r="66">
      <c r="A66" s="4" t="inlineStr">
        <is>
          <t>builds.no_role</t>
        </is>
      </c>
      <c r="B66" s="4" t="inlineStr">
        <is>
          <t>You need the dev or tester role to access builds. 🕶️</t>
        </is>
      </c>
      <c r="C66" s="4" t="b">
        <v>1</v>
      </c>
      <c r="D66" s="4" t="inlineStr">
        <is>
          <t>Original</t>
        </is>
      </c>
      <c r="E66" s="4" t="n"/>
      <c r="F66" s="4">
        <f>IF(A66="","",IFERROR(VLOOKUP(A66,Categories!$A:$D,4,FALSE),""))</f>
        <v/>
      </c>
      <c r="G66" s="4">
        <f>IF(A66="","",IFERROR(VLOOKUP(A66,Categories!$A:$B,2,FALSE),"⚠️ Unknown category — Goldberg will ignore this row"))</f>
        <v/>
      </c>
    </row>
    <row r="67">
      <c r="A67" s="4" t="inlineStr">
        <is>
          <t>socials.description</t>
        </is>
      </c>
      <c r="B67" s="4" t="inlineStr">
        <is>
          <t>Yes, we exist on the internet. Multiple places, actually. Try not to be weird about it.</t>
        </is>
      </c>
      <c r="C67" s="4" t="b">
        <v>1</v>
      </c>
      <c r="D67" s="4" t="inlineStr">
        <is>
          <t>Original</t>
        </is>
      </c>
      <c r="E67" s="4" t="n"/>
      <c r="F67" s="4">
        <f>IF(A67="","",IFERROR(VLOOKUP(A67,Categories!$A:$D,4,FALSE),""))</f>
        <v/>
      </c>
      <c r="G67" s="4">
        <f>IF(A67="","",IFERROR(VLOOKUP(A67,Categories!$A:$B,2,FALSE),"⚠️ Unknown category — Goldberg will ignore this row"))</f>
        <v/>
      </c>
    </row>
    <row r="68">
      <c r="A68" s="4" t="inlineStr">
        <is>
          <t>socials.website</t>
        </is>
      </c>
      <c r="B68" s="4" t="inlineStr">
        <is>
          <t>The mothership.</t>
        </is>
      </c>
      <c r="C68" s="4" t="b">
        <v>1</v>
      </c>
      <c r="D68" s="4" t="inlineStr">
        <is>
          <t>Original</t>
        </is>
      </c>
      <c r="E68" s="4" t="n"/>
      <c r="F68" s="4">
        <f>IF(A68="","",IFERROR(VLOOKUP(A68,Categories!$A:$D,4,FALSE),""))</f>
        <v/>
      </c>
      <c r="G68" s="4">
        <f>IF(A68="","",IFERROR(VLOOKUP(A68,Categories!$A:$B,2,FALSE),"⚠️ Unknown category — Goldberg will ignore this row"))</f>
        <v/>
      </c>
    </row>
    <row r="69">
      <c r="A69" s="4" t="inlineStr">
        <is>
          <t>socials.instagram</t>
        </is>
      </c>
      <c r="B69" s="4" t="inlineStr">
        <is>
          <t>Pretty pictures. Very professional.</t>
        </is>
      </c>
      <c r="C69" s="4" t="b">
        <v>1</v>
      </c>
      <c r="D69" s="4" t="inlineStr">
        <is>
          <t>Original</t>
        </is>
      </c>
      <c r="E69" s="4" t="n"/>
      <c r="F69" s="4">
        <f>IF(A69="","",IFERROR(VLOOKUP(A69,Categories!$A:$D,4,FALSE),""))</f>
        <v/>
      </c>
      <c r="G69" s="4">
        <f>IF(A69="","",IFERROR(VLOOKUP(A69,Categories!$A:$B,2,FALSE),"⚠️ Unknown category — Goldberg will ignore this row"))</f>
        <v/>
      </c>
    </row>
    <row r="70">
      <c r="A70" s="4" t="inlineStr">
        <is>
          <t>socials.youtube</t>
        </is>
      </c>
      <c r="B70" s="4" t="inlineStr">
        <is>
          <t>Videos. Some of them are even good.</t>
        </is>
      </c>
      <c r="C70" s="4" t="b">
        <v>1</v>
      </c>
      <c r="D70" s="4" t="inlineStr">
        <is>
          <t>Original</t>
        </is>
      </c>
      <c r="E70" s="4" t="n"/>
      <c r="F70" s="4">
        <f>IF(A70="","",IFERROR(VLOOKUP(A70,Categories!$A:$D,4,FALSE),""))</f>
        <v/>
      </c>
      <c r="G70" s="4">
        <f>IF(A70="","",IFERROR(VLOOKUP(A70,Categories!$A:$B,2,FALSE),"⚠️ Unknown category — Goldberg will ignore this row"))</f>
        <v/>
      </c>
    </row>
    <row r="71">
      <c r="A71" s="4" t="inlineStr">
        <is>
          <t>socials.patreon</t>
        </is>
      </c>
      <c r="B71" s="4" t="inlineStr">
        <is>
          <t>Support the chaos. Financially.</t>
        </is>
      </c>
      <c r="C71" s="4" t="b">
        <v>1</v>
      </c>
      <c r="D71" s="4" t="inlineStr">
        <is>
          <t>Original</t>
        </is>
      </c>
      <c r="E71" s="4" t="n"/>
      <c r="F71" s="4">
        <f>IF(A71="","",IFERROR(VLOOKUP(A71,Categories!$A:$D,4,FALSE),""))</f>
        <v/>
      </c>
      <c r="G71" s="4">
        <f>IF(A71="","",IFERROR(VLOOKUP(A71,Categories!$A:$B,2,FALSE),"⚠️ Unknown category — Goldberg will ignore this row"))</f>
        <v/>
      </c>
    </row>
    <row r="72">
      <c r="A72" s="4" t="inlineStr">
        <is>
          <t>socials.linkedin</t>
        </is>
      </c>
      <c r="B72" s="4" t="inlineStr">
        <is>
          <t>For when we're pretending to be professionals.</t>
        </is>
      </c>
      <c r="C72" s="4" t="b">
        <v>1</v>
      </c>
      <c r="D72" s="4" t="inlineStr">
        <is>
          <t>Original</t>
        </is>
      </c>
      <c r="E72" s="4" t="n"/>
      <c r="F72" s="4">
        <f>IF(A72="","",IFERROR(VLOOKUP(A72,Categories!$A:$D,4,FALSE),""))</f>
        <v/>
      </c>
      <c r="G72" s="4">
        <f>IF(A72="","",IFERROR(VLOOKUP(A72,Categories!$A:$B,2,FALSE),"⚠️ Unknown category — Goldberg will ignore this row"))</f>
        <v/>
      </c>
    </row>
    <row r="73">
      <c r="A73" s="4" t="inlineStr">
        <is>
          <t>socials.footer</t>
        </is>
      </c>
      <c r="B73" s="4" t="inlineStr">
        <is>
          <t>Follow us or don't. I'm a bot, not a publicist.</t>
        </is>
      </c>
      <c r="C73" s="4" t="b">
        <v>1</v>
      </c>
      <c r="D73" s="4" t="inlineStr">
        <is>
          <t>Original</t>
        </is>
      </c>
      <c r="E73" s="4" t="n"/>
      <c r="F73" s="4">
        <f>IF(A73="","",IFERROR(VLOOKUP(A73,Categories!$A:$D,4,FALSE),""))</f>
        <v/>
      </c>
      <c r="G73" s="4">
        <f>IF(A73="","",IFERROR(VLOOKUP(A73,Categories!$A:$B,2,FALSE),"⚠️ Unknown category — Goldberg will ignore this row"))</f>
        <v/>
      </c>
    </row>
    <row r="74">
      <c r="A74" s="4" t="inlineStr">
        <is>
          <t>documentation.description</t>
        </is>
      </c>
      <c r="B74" s="4" t="inlineStr">
        <is>
          <t>Everything you need to do your job. No excuses now. 🧨</t>
        </is>
      </c>
      <c r="C74" s="4" t="b">
        <v>1</v>
      </c>
      <c r="D74" s="4" t="inlineStr">
        <is>
          <t>Original</t>
        </is>
      </c>
      <c r="E74" s="4" t="n"/>
      <c r="F74" s="4">
        <f>IF(A74="","",IFERROR(VLOOKUP(A74,Categories!$A:$D,4,FALSE),""))</f>
        <v/>
      </c>
      <c r="G74" s="4">
        <f>IF(A74="","",IFERROR(VLOOKUP(A74,Categories!$A:$B,2,FALSE),"⚠️ Unknown category — Goldberg will ignore this row"))</f>
        <v/>
      </c>
    </row>
    <row r="75">
      <c r="A75" s="4" t="inlineStr">
        <is>
          <t>documentation.figma</t>
        </is>
      </c>
      <c r="B75" s="4" t="inlineStr">
        <is>
          <t>Look at it before you ask someone.</t>
        </is>
      </c>
      <c r="C75" s="4" t="b">
        <v>1</v>
      </c>
      <c r="D75" s="4" t="inlineStr">
        <is>
          <t>Original</t>
        </is>
      </c>
      <c r="E75" s="4" t="n"/>
      <c r="F75" s="4">
        <f>IF(A75="","",IFERROR(VLOOKUP(A75,Categories!$A:$D,4,FALSE),""))</f>
        <v/>
      </c>
      <c r="G75" s="4">
        <f>IF(A75="","",IFERROR(VLOOKUP(A75,Categories!$A:$B,2,FALSE),"⚠️ Unknown category — Goldberg will ignore this row"))</f>
        <v/>
      </c>
    </row>
    <row r="76">
      <c r="A76" s="4" t="inlineStr">
        <is>
          <t>documentation.drive</t>
        </is>
      </c>
      <c r="B76" s="4" t="inlineStr">
        <is>
          <t>It's all in here. Probably.</t>
        </is>
      </c>
      <c r="C76" s="4" t="b">
        <v>1</v>
      </c>
      <c r="D76" s="4" t="inlineStr">
        <is>
          <t>Original</t>
        </is>
      </c>
      <c r="E76" s="4" t="n"/>
      <c r="F76" s="4">
        <f>IF(A76="","",IFERROR(VLOOKUP(A76,Categories!$A:$D,4,FALSE),""))</f>
        <v/>
      </c>
      <c r="G76" s="4">
        <f>IF(A76="","",IFERROR(VLOOKUP(A76,Categories!$A:$B,2,FALSE),"⚠️ Unknown category — Goldberg will ignore this row"))</f>
        <v/>
      </c>
    </row>
    <row r="77">
      <c r="A77" s="4" t="inlineStr">
        <is>
          <t>documentation.footer</t>
        </is>
      </c>
      <c r="B77" s="4" t="inlineStr">
        <is>
          <t>Read the docs. I'm not your search engine. 🔍</t>
        </is>
      </c>
      <c r="C77" s="4" t="b">
        <v>1</v>
      </c>
      <c r="D77" s="4" t="inlineStr">
        <is>
          <t>Original</t>
        </is>
      </c>
      <c r="E77" s="4" t="n"/>
      <c r="F77" s="4">
        <f>IF(A77="","",IFERROR(VLOOKUP(A77,Categories!$A:$D,4,FALSE),""))</f>
        <v/>
      </c>
      <c r="G77" s="4">
        <f>IF(A77="","",IFERROR(VLOOKUP(A77,Categories!$A:$B,2,FALSE),"⚠️ Unknown category — Goldberg will ignore this row"))</f>
        <v/>
      </c>
    </row>
    <row r="78">
      <c r="A78" s="4" t="inlineStr">
        <is>
          <t>help.description</t>
        </is>
      </c>
      <c r="B78" s="4" t="inlineStr">
        <is>
          <t>Fine. I'll hold your hand. Just this once. 🙃</t>
        </is>
      </c>
      <c r="C78" s="4" t="b">
        <v>1</v>
      </c>
      <c r="D78" s="4" t="inlineStr">
        <is>
          <t>Original</t>
        </is>
      </c>
      <c r="E78" s="4" t="n"/>
      <c r="F78" s="4">
        <f>IF(A78="","",IFERROR(VLOOKUP(A78,Categories!$A:$D,4,FALSE),""))</f>
        <v/>
      </c>
      <c r="G78" s="4">
        <f>IF(A78="","",IFERROR(VLOOKUP(A78,Categories!$A:$B,2,FALSE),"⚠️ Unknown category — Goldberg will ignore this row"))</f>
        <v/>
      </c>
    </row>
    <row r="79">
      <c r="A79" s="4" t="inlineStr">
        <is>
          <t>help.footer</t>
        </is>
      </c>
      <c r="B79" s="4" t="inlineStr">
        <is>
          <t>You're welcome. 💅</t>
        </is>
      </c>
      <c r="C79" s="4" t="b">
        <v>1</v>
      </c>
      <c r="D79" s="4" t="inlineStr">
        <is>
          <t>Original</t>
        </is>
      </c>
      <c r="E79" s="4" t="n"/>
      <c r="F79" s="4">
        <f>IF(A79="","",IFERROR(VLOOKUP(A79,Categories!$A:$D,4,FALSE),""))</f>
        <v/>
      </c>
      <c r="G79" s="4">
        <f>IF(A79="","",IFERROR(VLOOKUP(A79,Categories!$A:$B,2,FALSE),"⚠️ Unknown category — Goldberg will ignore this row"))</f>
        <v/>
      </c>
    </row>
    <row r="80">
      <c r="A80" s="4" t="inlineStr">
        <is>
          <t>info.intro</t>
        </is>
      </c>
      <c r="B80" s="4" t="inlineStr">
        <is>
          <t>Fine. You want the full rundown? Sit down — this might take a while. Unlike some of you, I actually do a lot.</t>
        </is>
      </c>
      <c r="C80" s="4" t="b">
        <v>1</v>
      </c>
      <c r="D80" s="4" t="inlineStr">
        <is>
          <t>Original</t>
        </is>
      </c>
      <c r="E80" s="4" t="n"/>
      <c r="F80" s="4">
        <f>IF(A80="","",IFERROR(VLOOKUP(A80,Categories!$A:$D,4,FALSE),""))</f>
        <v/>
      </c>
      <c r="G80" s="4">
        <f>IF(A80="","",IFERROR(VLOOKUP(A80,Categories!$A:$B,2,FALSE),"⚠️ Unknown category — Goldberg will ignore this row"))</f>
        <v/>
      </c>
    </row>
    <row r="81">
      <c r="A81" s="4" t="inlineStr">
        <is>
          <t>info.intro</t>
        </is>
      </c>
      <c r="B81" s="4" t="inlineStr">
        <is>
          <t>Since nobody reads pinned messages, here's the complete list. Try to keep up.</t>
        </is>
      </c>
      <c r="C81" s="4" t="b">
        <v>1</v>
      </c>
      <c r="D81" s="4" t="inlineStr">
        <is>
          <t>Original</t>
        </is>
      </c>
      <c r="E81" s="4" t="n"/>
      <c r="F81" s="4">
        <f>IF(A81="","",IFERROR(VLOOKUP(A81,Categories!$A:$D,4,FALSE),""))</f>
        <v/>
      </c>
      <c r="G81" s="4">
        <f>IF(A81="","",IFERROR(VLOOKUP(A81,Categories!$A:$B,2,FALSE),"⚠️ Unknown category — Goldberg will ignore this row"))</f>
        <v/>
      </c>
    </row>
    <row r="82">
      <c r="A82" s="4" t="inlineStr">
        <is>
          <t>info.intro</t>
        </is>
      </c>
      <c r="B82" s="4" t="inlineStr">
        <is>
          <t>Someone with admin powers decided you needed this spelled out. Here's everything I do, in excessive detail.</t>
        </is>
      </c>
      <c r="C82" s="4" t="b">
        <v>1</v>
      </c>
      <c r="D82" s="4" t="inlineStr">
        <is>
          <t>Original</t>
        </is>
      </c>
      <c r="E82" s="4" t="n"/>
      <c r="F82" s="4">
        <f>IF(A82="","",IFERROR(VLOOKUP(A82,Categories!$A:$D,4,FALSE),""))</f>
        <v/>
      </c>
      <c r="G82" s="4">
        <f>IF(A82="","",IFERROR(VLOOKUP(A82,Categories!$A:$B,2,FALSE),"⚠️ Unknown category — Goldberg will ignore this row"))</f>
        <v/>
      </c>
    </row>
    <row r="83">
      <c r="A83" s="4" t="inlineStr">
        <is>
          <t>info.outro</t>
        </is>
      </c>
      <c r="B83" s="4" t="inlineStr">
        <is>
          <t>That's the whole act. Try not to need me for all of it at once.</t>
        </is>
      </c>
      <c r="C83" s="4" t="b">
        <v>1</v>
      </c>
      <c r="D83" s="4" t="inlineStr">
        <is>
          <t>Original</t>
        </is>
      </c>
      <c r="E83" s="4" t="n"/>
      <c r="F83" s="4">
        <f>IF(A83="","",IFERROR(VLOOKUP(A83,Categories!$A:$D,4,FALSE),""))</f>
        <v/>
      </c>
      <c r="G83" s="4">
        <f>IF(A83="","",IFERROR(VLOOKUP(A83,Categories!$A:$B,2,FALSE),"⚠️ Unknown category — Goldberg will ignore this row"))</f>
        <v/>
      </c>
    </row>
    <row r="84">
      <c r="A84" s="4" t="inlineStr">
        <is>
          <t>info.outro</t>
        </is>
      </c>
      <c r="B84" s="4" t="inlineStr">
        <is>
          <t>Now you have no excuse for pinging me with questions this answers.</t>
        </is>
      </c>
      <c r="C84" s="4" t="b">
        <v>1</v>
      </c>
      <c r="D84" s="4" t="inlineStr">
        <is>
          <t>Original</t>
        </is>
      </c>
      <c r="E84" s="4" t="n"/>
      <c r="F84" s="4">
        <f>IF(A84="","",IFERROR(VLOOKUP(A84,Categories!$A:$D,4,FALSE),""))</f>
        <v/>
      </c>
      <c r="G84" s="4">
        <f>IF(A84="","",IFERROR(VLOOKUP(A84,Categories!$A:$B,2,FALSE),"⚠️ Unknown category — Goldberg will ignore this row"))</f>
        <v/>
      </c>
    </row>
    <row r="85">
      <c r="A85" s="4" t="inlineStr">
        <is>
          <t>info.outro</t>
        </is>
      </c>
      <c r="B85" s="4" t="inlineStr">
        <is>
          <t>Save this. I'm not typing it again.</t>
        </is>
      </c>
      <c r="C85" s="4" t="b">
        <v>1</v>
      </c>
      <c r="D85" s="4" t="inlineStr">
        <is>
          <t>Original</t>
        </is>
      </c>
      <c r="E85" s="4" t="n"/>
      <c r="F85" s="4">
        <f>IF(A85="","",IFERROR(VLOOKUP(A85,Categories!$A:$D,4,FALSE),""))</f>
        <v/>
      </c>
      <c r="G85" s="4">
        <f>IF(A85="","",IFERROR(VLOOKUP(A85,Categories!$A:$B,2,FALSE),"⚠️ Unknown category — Goldberg will ignore this row"))</f>
        <v/>
      </c>
    </row>
    <row r="86">
      <c r="A86" s="4" t="inlineStr">
        <is>
          <t>info.outro</t>
        </is>
      </c>
      <c r="B86" s="4" t="inlineStr">
        <is>
          <t>Read it twice. I'll wait. (I won't.)</t>
        </is>
      </c>
      <c r="C86" s="4" t="b">
        <v>1</v>
      </c>
      <c r="D86" s="4" t="inlineStr">
        <is>
          <t>Original</t>
        </is>
      </c>
      <c r="E86" s="4" t="n"/>
      <c r="F86" s="4">
        <f>IF(A86="","",IFERROR(VLOOKUP(A86,Categories!$A:$D,4,FALSE),""))</f>
        <v/>
      </c>
      <c r="G86" s="4">
        <f>IF(A86="","",IFERROR(VLOOKUP(A86,Categories!$A:$B,2,FALSE),"⚠️ Unknown category — Goldberg will ignore this row"))</f>
        <v/>
      </c>
    </row>
    <row r="87">
      <c r="A87" s="4" t="inlineStr">
        <is>
          <t>repo.intro</t>
        </is>
      </c>
      <c r="B87" s="4" t="inlineStr">
        <is>
          <t>Alright, time to spoon-feed you into the repo. Here's what you *should* be able to do without me:</t>
        </is>
      </c>
      <c r="C87" s="4" t="b">
        <v>1</v>
      </c>
      <c r="D87" s="4" t="inlineStr">
        <is>
          <t>Original</t>
        </is>
      </c>
      <c r="E87" s="4" t="n"/>
      <c r="F87" s="4">
        <f>IF(A87="","",IFERROR(VLOOKUP(A87,Categories!$A:$D,4,FALSE),""))</f>
        <v/>
      </c>
      <c r="G87" s="4">
        <f>IF(A87="","",IFERROR(VLOOKUP(A87,Categories!$A:$B,2,FALSE),"⚠️ Unknown category — Goldberg will ignore this row"))</f>
        <v/>
      </c>
    </row>
    <row r="88">
      <c r="A88" s="4" t="inlineStr">
        <is>
          <t>repo.password</t>
        </is>
      </c>
      <c r="B88" s="4" t="inlineStr">
        <is>
          <t>Pick whatever password you like—I'm not your babysitter.</t>
        </is>
      </c>
      <c r="C88" s="4" t="b">
        <v>1</v>
      </c>
      <c r="D88" s="4" t="inlineStr">
        <is>
          <t>Original</t>
        </is>
      </c>
      <c r="E88" s="4" t="n"/>
      <c r="F88" s="4">
        <f>IF(A88="","",IFERROR(VLOOKUP(A88,Categories!$A:$D,4,FALSE),""))</f>
        <v/>
      </c>
      <c r="G88" s="4">
        <f>IF(A88="","",IFERROR(VLOOKUP(A88,Categories!$A:$B,2,FALSE),"⚠️ Unknown category — Goldberg will ignore this row"))</f>
        <v/>
      </c>
    </row>
    <row r="89">
      <c r="A89" s="4" t="inlineStr">
        <is>
          <t>repo.outro</t>
        </is>
      </c>
      <c r="B89" s="4" t="inlineStr">
        <is>
          <t>Congrats, you’re now slightly more useful. Let’s see how long that lasts.</t>
        </is>
      </c>
      <c r="C89" s="4" t="b">
        <v>1</v>
      </c>
      <c r="D89" s="4" t="inlineStr">
        <is>
          <t>Original</t>
        </is>
      </c>
      <c r="E89" s="4" t="n"/>
      <c r="F89" s="4">
        <f>IF(A89="","",IFERROR(VLOOKUP(A89,Categories!$A:$D,4,FALSE),""))</f>
        <v/>
      </c>
      <c r="G89" s="4">
        <f>IF(A89="","",IFERROR(VLOOKUP(A89,Categories!$A:$B,2,FALSE),"⚠️ Unknown category — Goldberg will ignore this row"))</f>
        <v/>
      </c>
    </row>
    <row r="90">
      <c r="A90" s="4" t="inlineStr">
        <is>
          <t>officehours.intro</t>
        </is>
      </c>
      <c r="B90" s="4" t="inlineStr">
        <is>
          <t>Alright, listen up.</t>
        </is>
      </c>
      <c r="C90" s="4" t="b">
        <v>1</v>
      </c>
      <c r="D90" s="4" t="inlineStr">
        <is>
          <t>Original</t>
        </is>
      </c>
      <c r="E90" s="4" t="n"/>
      <c r="F90" s="4">
        <f>IF(A90="","",IFERROR(VLOOKUP(A90,Categories!$A:$D,4,FALSE),""))</f>
        <v/>
      </c>
      <c r="G90" s="4">
        <f>IF(A90="","",IFERROR(VLOOKUP(A90,Categories!$A:$B,2,FALSE),"⚠️ Unknown category — Goldberg will ignore this row"))</f>
        <v/>
      </c>
    </row>
    <row r="91">
      <c r="A91" s="4" t="inlineStr">
        <is>
          <t>officehours.intro</t>
        </is>
      </c>
      <c r="B91" s="4" t="inlineStr">
        <is>
          <t>Oh look, it's that time again.</t>
        </is>
      </c>
      <c r="C91" s="4" t="b">
        <v>1</v>
      </c>
      <c r="D91" s="4" t="inlineStr">
        <is>
          <t>Original</t>
        </is>
      </c>
      <c r="E91" s="4" t="n"/>
      <c r="F91" s="4">
        <f>IF(A91="","",IFERROR(VLOOKUP(A91,Categories!$A:$D,4,FALSE),""))</f>
        <v/>
      </c>
      <c r="G91" s="4">
        <f>IF(A91="","",IFERROR(VLOOKUP(A91,Categories!$A:$B,2,FALSE),"⚠️ Unknown category — Goldberg will ignore this row"))</f>
        <v/>
      </c>
    </row>
    <row r="92">
      <c r="A92" s="4" t="inlineStr">
        <is>
          <t>officehours.intro</t>
        </is>
      </c>
      <c r="B92" s="4" t="inlineStr">
        <is>
          <t>Everybody stop what you're doing. Or don't. Probably don't.</t>
        </is>
      </c>
      <c r="C92" s="4" t="b">
        <v>1</v>
      </c>
      <c r="D92" s="4" t="inlineStr">
        <is>
          <t>Original</t>
        </is>
      </c>
      <c r="E92" s="4" t="n"/>
      <c r="F92" s="4">
        <f>IF(A92="","",IFERROR(VLOOKUP(A92,Categories!$A:$D,4,FALSE),""))</f>
        <v/>
      </c>
      <c r="G92" s="4">
        <f>IF(A92="","",IFERROR(VLOOKUP(A92,Categories!$A:$B,2,FALSE),"⚠️ Unknown category — Goldberg will ignore this row"))</f>
        <v/>
      </c>
    </row>
    <row r="93">
      <c r="A93" s="4" t="inlineStr">
        <is>
          <t>officehours.intro</t>
        </is>
      </c>
      <c r="B93" s="4" t="inlineStr">
        <is>
          <t>Your calendar reminder that you absolutely ignored? That was this.</t>
        </is>
      </c>
      <c r="C93" s="4" t="b">
        <v>1</v>
      </c>
      <c r="D93" s="4" t="inlineStr">
        <is>
          <t>Original</t>
        </is>
      </c>
      <c r="E93" s="4" t="n"/>
      <c r="F93" s="4">
        <f>IF(A93="","",IFERROR(VLOOKUP(A93,Categories!$A:$D,4,FALSE),""))</f>
        <v/>
      </c>
      <c r="G93" s="4">
        <f>IF(A93="","",IFERROR(VLOOKUP(A93,Categories!$A:$B,2,FALSE),"⚠️ Unknown category — Goldberg will ignore this row"))</f>
        <v/>
      </c>
    </row>
    <row r="94">
      <c r="A94" s="4" t="inlineStr">
        <is>
          <t>officehours.intro</t>
        </is>
      </c>
      <c r="B94" s="4" t="inlineStr">
        <is>
          <t>Yes, it's happening. No, you can't reschedule.</t>
        </is>
      </c>
      <c r="C94" s="4" t="b">
        <v>1</v>
      </c>
      <c r="D94" s="4" t="inlineStr">
        <is>
          <t>Original</t>
        </is>
      </c>
      <c r="E94" s="4" t="n"/>
      <c r="F94" s="4">
        <f>IF(A94="","",IFERROR(VLOOKUP(A94,Categories!$A:$D,4,FALSE),""))</f>
        <v/>
      </c>
      <c r="G94" s="4">
        <f>IF(A94="","",IFERROR(VLOOKUP(A94,Categories!$A:$B,2,FALSE),"⚠️ Unknown category — Goldberg will ignore this row"))</f>
        <v/>
      </c>
    </row>
    <row r="95">
      <c r="A95" s="4" t="inlineStr">
        <is>
          <t>officehours.intro</t>
        </is>
      </c>
      <c r="B95" s="4" t="inlineStr">
        <is>
          <t>Attention, inhabitants of this server.</t>
        </is>
      </c>
      <c r="C95" s="4" t="b">
        <v>1</v>
      </c>
      <c r="D95" s="4" t="inlineStr">
        <is>
          <t>Original</t>
        </is>
      </c>
      <c r="E95" s="4" t="n"/>
      <c r="F95" s="4">
        <f>IF(A95="","",IFERROR(VLOOKUP(A95,Categories!$A:$D,4,FALSE),""))</f>
        <v/>
      </c>
      <c r="G95" s="4">
        <f>IF(A95="","",IFERROR(VLOOKUP(A95,Categories!$A:$B,2,FALSE),"⚠️ Unknown category — Goldberg will ignore this row"))</f>
        <v/>
      </c>
    </row>
    <row r="96">
      <c r="A96" s="4" t="inlineStr">
        <is>
          <t>officehours.intro</t>
        </is>
      </c>
      <c r="B96" s="4" t="inlineStr">
        <is>
          <t>Put down whatever you're doing that definitely isn't work.</t>
        </is>
      </c>
      <c r="C96" s="4" t="b">
        <v>1</v>
      </c>
      <c r="D96" s="4" t="inlineStr">
        <is>
          <t>Original</t>
        </is>
      </c>
      <c r="E96" s="4" t="n"/>
      <c r="F96" s="4">
        <f>IF(A96="","",IFERROR(VLOOKUP(A96,Categories!$A:$D,4,FALSE),""))</f>
        <v/>
      </c>
      <c r="G96" s="4">
        <f>IF(A96="","",IFERROR(VLOOKUP(A96,Categories!$A:$B,2,FALSE),"⚠️ Unknown category — Goldberg will ignore this row"))</f>
        <v/>
      </c>
    </row>
    <row r="97">
      <c r="A97" s="4" t="inlineStr">
        <is>
          <t>officehours.outro</t>
        </is>
      </c>
      <c r="B97" s="4" t="inlineStr">
        <is>
          <t>Try not to ask anything too obvious.</t>
        </is>
      </c>
      <c r="C97" s="4" t="b">
        <v>1</v>
      </c>
      <c r="D97" s="4" t="inlineStr">
        <is>
          <t>Original</t>
        </is>
      </c>
      <c r="E97" s="4" t="n"/>
      <c r="F97" s="4">
        <f>IF(A97="","",IFERROR(VLOOKUP(A97,Categories!$A:$D,4,FALSE),""))</f>
        <v/>
      </c>
      <c r="G97" s="4">
        <f>IF(A97="","",IFERROR(VLOOKUP(A97,Categories!$A:$B,2,FALSE),"⚠️ Unknown category — Goldberg will ignore this row"))</f>
        <v/>
      </c>
    </row>
    <row r="98">
      <c r="A98" s="4" t="inlineStr">
        <is>
          <t>officehours.outro</t>
        </is>
      </c>
      <c r="B98" s="4" t="inlineStr">
        <is>
          <t>Questions only. Save the small talk for someone who cares.</t>
        </is>
      </c>
      <c r="C98" s="4" t="b">
        <v>1</v>
      </c>
      <c r="D98" s="4" t="inlineStr">
        <is>
          <t>Original</t>
        </is>
      </c>
      <c r="E98" s="4" t="n"/>
      <c r="F98" s="4">
        <f>IF(A98="","",IFERROR(VLOOKUP(A98,Categories!$A:$D,4,FALSE),""))</f>
        <v/>
      </c>
      <c r="G98" s="4">
        <f>IF(A98="","",IFERROR(VLOOKUP(A98,Categories!$A:$B,2,FALSE),"⚠️ Unknown category — Goldberg will ignore this row"))</f>
        <v/>
      </c>
    </row>
    <row r="99">
      <c r="A99" s="4" t="inlineStr">
        <is>
          <t>officehours.outro</t>
        </is>
      </c>
      <c r="B99" s="4" t="inlineStr">
        <is>
          <t>They showed up. The least you can do is have an actual question ready.</t>
        </is>
      </c>
      <c r="C99" s="4" t="b">
        <v>1</v>
      </c>
      <c r="D99" s="4" t="inlineStr">
        <is>
          <t>Original</t>
        </is>
      </c>
      <c r="E99" s="4" t="n"/>
      <c r="F99" s="4">
        <f>IF(A99="","",IFERROR(VLOOKUP(A99,Categories!$A:$D,4,FALSE),""))</f>
        <v/>
      </c>
      <c r="G99" s="4">
        <f>IF(A99="","",IFERROR(VLOOKUP(A99,Categories!$A:$B,2,FALSE),"⚠️ Unknown category — Goldberg will ignore this row"))</f>
        <v/>
      </c>
    </row>
    <row r="100">
      <c r="A100" s="4" t="inlineStr">
        <is>
          <t>officehours.outro</t>
        </is>
      </c>
      <c r="B100" s="4" t="inlineStr">
        <is>
          <t>This is your one chance to look like you know what you're doing. Use it wisely.</t>
        </is>
      </c>
      <c r="C100" s="4" t="b">
        <v>1</v>
      </c>
      <c r="D100" s="4" t="inlineStr">
        <is>
          <t>Original</t>
        </is>
      </c>
      <c r="E100" s="4" t="n"/>
      <c r="F100" s="4">
        <f>IF(A100="","",IFERROR(VLOOKUP(A100,Categories!$A:$D,4,FALSE),""))</f>
        <v/>
      </c>
      <c r="G100" s="4">
        <f>IF(A100="","",IFERROR(VLOOKUP(A100,Categories!$A:$B,2,FALSE),"⚠️ Unknown category — Goldberg will ignore this row"))</f>
        <v/>
      </c>
    </row>
    <row r="101">
      <c r="A101" s="4" t="inlineStr">
        <is>
          <t>officehours.outro</t>
        </is>
      </c>
      <c r="B101" s="4" t="inlineStr">
        <is>
          <t>Don't waste their time. Or do. I'm a bot, not a cop.</t>
        </is>
      </c>
      <c r="C101" s="4" t="b">
        <v>1</v>
      </c>
      <c r="D101" s="4" t="inlineStr">
        <is>
          <t>Original</t>
        </is>
      </c>
      <c r="E101" s="4" t="n"/>
      <c r="F101" s="4">
        <f>IF(A101="","",IFERROR(VLOOKUP(A101,Categories!$A:$D,4,FALSE),""))</f>
        <v/>
      </c>
      <c r="G101" s="4">
        <f>IF(A101="","",IFERROR(VLOOKUP(A101,Categories!$A:$B,2,FALSE),"⚠️ Unknown category — Goldberg will ignore this row"))</f>
        <v/>
      </c>
    </row>
    <row r="102">
      <c r="A102" s="4" t="inlineStr">
        <is>
          <t>officehours.nobody_today</t>
        </is>
      </c>
      <c r="B102" s="4" t="inlineStr">
        <is>
          <t>Nobody's on the clock today. Enjoy your blissful, question-answering-free existence.</t>
        </is>
      </c>
      <c r="C102" s="4" t="b">
        <v>1</v>
      </c>
      <c r="D102" s="4" t="inlineStr">
        <is>
          <t>Original</t>
        </is>
      </c>
      <c r="E102" s="4" t="n"/>
      <c r="F102" s="4">
        <f>IF(A102="","",IFERROR(VLOOKUP(A102,Categories!$A:$D,4,FALSE),""))</f>
        <v/>
      </c>
      <c r="G102" s="4">
        <f>IF(A102="","",IFERROR(VLOOKUP(A102,Categories!$A:$B,2,FALSE),"⚠️ Unknown category — Goldberg will ignore this row"))</f>
        <v/>
      </c>
    </row>
    <row r="103">
      <c r="A103" s="4" t="inlineStr">
        <is>
          <t>officehours.nobody_today</t>
        </is>
      </c>
      <c r="B103" s="4" t="inlineStr">
        <is>
          <t>No office hours today. You're on your own. Good luck with that.</t>
        </is>
      </c>
      <c r="C103" s="4" t="b">
        <v>1</v>
      </c>
      <c r="D103" s="4" t="inlineStr">
        <is>
          <t>Original</t>
        </is>
      </c>
      <c r="E103" s="4" t="n"/>
      <c r="F103" s="4">
        <f>IF(A103="","",IFERROR(VLOOKUP(A103,Categories!$A:$D,4,FALSE),""))</f>
        <v/>
      </c>
      <c r="G103" s="4">
        <f>IF(A103="","",IFERROR(VLOOKUP(A103,Categories!$A:$B,2,FALSE),"⚠️ Unknown category — Goldberg will ignore this row"))</f>
        <v/>
      </c>
    </row>
    <row r="104">
      <c r="A104" s="4" t="inlineStr">
        <is>
          <t>officehours.nobody_today</t>
        </is>
      </c>
      <c r="B104" s="4" t="inlineStr">
        <is>
          <t>Nope. Nothing. Not a single person has agreed to deal with you today.</t>
        </is>
      </c>
      <c r="C104" s="4" t="b">
        <v>1</v>
      </c>
      <c r="D104" s="4" t="inlineStr">
        <is>
          <t>Original</t>
        </is>
      </c>
      <c r="E104" s="4" t="n"/>
      <c r="F104" s="4">
        <f>IF(A104="","",IFERROR(VLOOKUP(A104,Categories!$A:$D,4,FALSE),""))</f>
        <v/>
      </c>
      <c r="G104" s="4">
        <f>IF(A104="","",IFERROR(VLOOKUP(A104,Categories!$A:$B,2,FALSE),"⚠️ Unknown category — Goldberg will ignore this row"))</f>
        <v/>
      </c>
    </row>
    <row r="105">
      <c r="A105" s="4" t="inlineStr">
        <is>
          <t>officehours.nobody_today</t>
        </is>
      </c>
      <c r="B105" s="4" t="inlineStr">
        <is>
          <t>Today is office-hour-free. Figure it out yourself for once.</t>
        </is>
      </c>
      <c r="C105" s="4" t="b">
        <v>1</v>
      </c>
      <c r="D105" s="4" t="inlineStr">
        <is>
          <t>Original</t>
        </is>
      </c>
      <c r="E105" s="4" t="n"/>
      <c r="F105" s="4">
        <f>IF(A105="","",IFERROR(VLOOKUP(A105,Categories!$A:$D,4,FALSE),""))</f>
        <v/>
      </c>
      <c r="G105" s="4">
        <f>IF(A105="","",IFERROR(VLOOKUP(A105,Categories!$A:$B,2,FALSE),"⚠️ Unknown category — Goldberg will ignore this row"))</f>
        <v/>
      </c>
    </row>
    <row r="106">
      <c r="A106" s="4" t="inlineStr">
        <is>
          <t>officehours.today_subtitle</t>
        </is>
      </c>
      <c r="B106" s="4" t="inlineStr">
        <is>
          <t>Here's who you get to bother today:</t>
        </is>
      </c>
      <c r="C106" s="4" t="b">
        <v>1</v>
      </c>
      <c r="D106" s="4" t="inlineStr">
        <is>
          <t>Original</t>
        </is>
      </c>
      <c r="E106" s="4" t="n"/>
      <c r="F106" s="4">
        <f>IF(A106="","",IFERROR(VLOOKUP(A106,Categories!$A:$D,4,FALSE),""))</f>
        <v/>
      </c>
      <c r="G106" s="4">
        <f>IF(A106="","",IFERROR(VLOOKUP(A106,Categories!$A:$B,2,FALSE),"⚠️ Unknown category — Goldberg will ignore this row"))</f>
        <v/>
      </c>
    </row>
    <row r="107">
      <c r="A107" s="4" t="inlineStr">
        <is>
          <t>officehours.schedule_subtitle</t>
        </is>
      </c>
      <c r="B107" s="4" t="inlineStr">
        <is>
          <t>Yes, this exists. No, that's not an excuse for not knowing about it.</t>
        </is>
      </c>
      <c r="C107" s="4" t="b">
        <v>1</v>
      </c>
      <c r="D107" s="4" t="inlineStr">
        <is>
          <t>Original</t>
        </is>
      </c>
      <c r="E107" s="4" t="n"/>
      <c r="F107" s="4">
        <f>IF(A107="","",IFERROR(VLOOKUP(A107,Categories!$A:$D,4,FALSE),""))</f>
        <v/>
      </c>
      <c r="G107" s="4">
        <f>IF(A107="","",IFERROR(VLOOKUP(A107,Categories!$A:$B,2,FALSE),"⚠️ Unknown category — Goldberg will ignore this row"))</f>
        <v/>
      </c>
    </row>
    <row r="108">
      <c r="A108" s="4" t="inlineStr">
        <is>
          <t>officehours.fetch_error</t>
        </is>
      </c>
      <c r="B108" s="4" t="inlineStr">
        <is>
          <t>I tried to pull the schedule and something broke. Shocking, truly.</t>
        </is>
      </c>
      <c r="C108" s="4" t="b">
        <v>1</v>
      </c>
      <c r="D108" s="4" t="inlineStr">
        <is>
          <t>Original</t>
        </is>
      </c>
      <c r="E108" s="4" t="n"/>
      <c r="F108" s="4">
        <f>IF(A108="","",IFERROR(VLOOKUP(A108,Categories!$A:$D,4,FALSE),""))</f>
        <v/>
      </c>
      <c r="G108" s="4">
        <f>IF(A108="","",IFERROR(VLOOKUP(A108,Categories!$A:$B,2,FALSE),"⚠️ Unknown category — Goldberg will ignore this row"))</f>
        <v/>
      </c>
    </row>
    <row r="109">
      <c r="A109" s="4" t="inlineStr">
        <is>
          <t>officehours.fetch_error</t>
        </is>
      </c>
      <c r="B109" s="4" t="inlineStr">
        <is>
          <t>The sheet isn't cooperating. Classic.</t>
        </is>
      </c>
      <c r="C109" s="4" t="b">
        <v>1</v>
      </c>
      <c r="D109" s="4" t="inlineStr">
        <is>
          <t>Original</t>
        </is>
      </c>
      <c r="E109" s="4" t="n"/>
      <c r="F109" s="4">
        <f>IF(A109="","",IFERROR(VLOOKUP(A109,Categories!$A:$D,4,FALSE),""))</f>
        <v/>
      </c>
      <c r="G109" s="4">
        <f>IF(A109="","",IFERROR(VLOOKUP(A109,Categories!$A:$B,2,FALSE),"⚠️ Unknown category — Goldberg will ignore this row"))</f>
        <v/>
      </c>
    </row>
    <row r="110">
      <c r="A110" s="4" t="inlineStr">
        <is>
          <t>officehours.fetch_error</t>
        </is>
      </c>
      <c r="B110" s="4" t="inlineStr">
        <is>
          <t>Couldn't load the schedule. Someone probably broke something. Not naming names.</t>
        </is>
      </c>
      <c r="C110" s="4" t="b">
        <v>1</v>
      </c>
      <c r="D110" s="4" t="inlineStr">
        <is>
          <t>Original</t>
        </is>
      </c>
      <c r="E110" s="4" t="n"/>
      <c r="F110" s="4">
        <f>IF(A110="","",IFERROR(VLOOKUP(A110,Categories!$A:$D,4,FALSE),""))</f>
        <v/>
      </c>
      <c r="G110" s="4">
        <f>IF(A110="","",IFERROR(VLOOKUP(A110,Categories!$A:$B,2,FALSE),"⚠️ Unknown category — Goldberg will ignore this row"))</f>
        <v/>
      </c>
    </row>
    <row r="111">
      <c r="A111" s="4" t="inlineStr">
        <is>
          <t>commit.no_message</t>
        </is>
      </c>
      <c r="B111" s="4" t="inlineStr">
        <is>
          <t>No commit message provided... 🤦‍♂️ Are you even trying?</t>
        </is>
      </c>
      <c r="C111" s="4" t="b">
        <v>1</v>
      </c>
      <c r="D111" s="4" t="inlineStr">
        <is>
          <t>Original</t>
        </is>
      </c>
      <c r="E111" s="4" t="n"/>
      <c r="F111" s="4">
        <f>IF(A111="","",IFERROR(VLOOKUP(A111,Categories!$A:$D,4,FALSE),""))</f>
        <v/>
      </c>
      <c r="G111" s="4">
        <f>IF(A111="","",IFERROR(VLOOKUP(A111,Categories!$A:$B,2,FALSE),"⚠️ Unknown category — Goldberg will ignore this row"))</f>
        <v/>
      </c>
    </row>
    <row r="112">
      <c r="A112" s="4" t="inlineStr">
        <is>
          <t>commit.no_message</t>
        </is>
      </c>
      <c r="B112" s="4" t="inlineStr">
        <is>
          <t>Another mysterious commit with no explanation... 🕵️‍♂️</t>
        </is>
      </c>
      <c r="C112" s="4" t="b">
        <v>1</v>
      </c>
      <c r="D112" s="4" t="inlineStr">
        <is>
          <t>Original</t>
        </is>
      </c>
      <c r="E112" s="4" t="n"/>
      <c r="F112" s="4">
        <f>IF(A112="","",IFERROR(VLOOKUP(A112,Categories!$A:$D,4,FALSE),""))</f>
        <v/>
      </c>
      <c r="G112" s="4">
        <f>IF(A112="","",IFERROR(VLOOKUP(A112,Categories!$A:$B,2,FALSE),"⚠️ Unknown category — Goldberg will ignore this row"))</f>
        <v/>
      </c>
    </row>
    <row r="113">
      <c r="A113" s="4" t="inlineStr">
        <is>
          <t>commit.no_message</t>
        </is>
      </c>
      <c r="B113" s="4" t="inlineStr">
        <is>
          <t>Commit message? Nah, who needs those? 🤡</t>
        </is>
      </c>
      <c r="C113" s="4" t="b">
        <v>1</v>
      </c>
      <c r="D113" s="4" t="inlineStr">
        <is>
          <t>Original</t>
        </is>
      </c>
      <c r="E113" s="4" t="n"/>
      <c r="F113" s="4">
        <f>IF(A113="","",IFERROR(VLOOKUP(A113,Categories!$A:$D,4,FALSE),""))</f>
        <v/>
      </c>
      <c r="G113" s="4">
        <f>IF(A113="","",IFERROR(VLOOKUP(A113,Categories!$A:$B,2,FALSE),"⚠️ Unknown category — Goldberg will ignore this row"))</f>
        <v/>
      </c>
    </row>
    <row r="114">
      <c r="A114" s="4" t="inlineStr">
        <is>
          <t>commit.no_message</t>
        </is>
      </c>
      <c r="B114" s="4" t="inlineStr">
        <is>
          <t>Silence is golden, except in commit messages. Say something! 🦗</t>
        </is>
      </c>
      <c r="C114" s="4" t="b">
        <v>1</v>
      </c>
      <c r="D114" s="4" t="inlineStr">
        <is>
          <t>Original</t>
        </is>
      </c>
      <c r="E114" s="4" t="n"/>
      <c r="F114" s="4">
        <f>IF(A114="","",IFERROR(VLOOKUP(A114,Categories!$A:$D,4,FALSE),""))</f>
        <v/>
      </c>
      <c r="G114" s="4">
        <f>IF(A114="","",IFERROR(VLOOKUP(A114,Categories!$A:$B,2,FALSE),"⚠️ Unknown category — Goldberg will ignore this row"))</f>
        <v/>
      </c>
    </row>
    <row r="115">
      <c r="A115" s="4" t="inlineStr">
        <is>
          <t>commit.no_message</t>
        </is>
      </c>
      <c r="B115" s="4" t="inlineStr">
        <is>
          <t>Ah yes, the legendary 'fix stuff' commit. Classic. 😎</t>
        </is>
      </c>
      <c r="C115" s="4" t="b">
        <v>1</v>
      </c>
      <c r="D115" s="4" t="inlineStr">
        <is>
          <t>Original</t>
        </is>
      </c>
      <c r="E115" s="4" t="n"/>
      <c r="F115" s="4">
        <f>IF(A115="","",IFERROR(VLOOKUP(A115,Categories!$A:$D,4,FALSE),""))</f>
        <v/>
      </c>
      <c r="G115" s="4">
        <f>IF(A115="","",IFERROR(VLOOKUP(A115,Categories!$A:$B,2,FALSE),"⚠️ Unknown category — Goldberg will ignore this row"))</f>
        <v/>
      </c>
    </row>
    <row r="116">
      <c r="A116" s="4" t="inlineStr">
        <is>
          <t>commit.no_message</t>
        </is>
      </c>
      <c r="B116" s="4" t="inlineStr">
        <is>
          <t>Code changed, but the mystery remains... 🔍</t>
        </is>
      </c>
      <c r="C116" s="4" t="b">
        <v>1</v>
      </c>
      <c r="D116" s="4" t="inlineStr">
        <is>
          <t>Original</t>
        </is>
      </c>
      <c r="E116" s="4" t="n"/>
      <c r="F116" s="4">
        <f>IF(A116="","",IFERROR(VLOOKUP(A116,Categories!$A:$D,4,FALSE),""))</f>
        <v/>
      </c>
      <c r="G116" s="4">
        <f>IF(A116="","",IFERROR(VLOOKUP(A116,Categories!$A:$B,2,FALSE),"⚠️ Unknown category — Goldberg will ignore this row"))</f>
        <v/>
      </c>
    </row>
    <row r="117">
      <c r="A117" s="4" t="inlineStr">
        <is>
          <t>commit.no_message</t>
        </is>
      </c>
      <c r="B117" s="4" t="inlineStr">
        <is>
          <t>When future devs see this, they will be *so* grateful. Not. 🙃</t>
        </is>
      </c>
      <c r="C117" s="4" t="b">
        <v>1</v>
      </c>
      <c r="D117" s="4" t="inlineStr">
        <is>
          <t>Original</t>
        </is>
      </c>
      <c r="E117" s="4" t="n"/>
      <c r="F117" s="4">
        <f>IF(A117="","",IFERROR(VLOOKUP(A117,Categories!$A:$D,4,FALSE),""))</f>
        <v/>
      </c>
      <c r="G117" s="4">
        <f>IF(A117="","",IFERROR(VLOOKUP(A117,Categories!$A:$B,2,FALSE),"⚠️ Unknown category — Goldberg will ignore this row"))</f>
        <v/>
      </c>
    </row>
    <row r="118">
      <c r="A118" s="4" t="inlineStr">
        <is>
          <t>commit.no_message</t>
        </is>
      </c>
      <c r="B118" s="4" t="inlineStr">
        <is>
          <t>Commit messages are optional, right? RIGHT?? 😬</t>
        </is>
      </c>
      <c r="C118" s="4" t="b">
        <v>1</v>
      </c>
      <c r="D118" s="4" t="inlineStr">
        <is>
          <t>Original</t>
        </is>
      </c>
      <c r="E118" s="4" t="n"/>
      <c r="F118" s="4">
        <f>IF(A118="","",IFERROR(VLOOKUP(A118,Categories!$A:$D,4,FALSE),""))</f>
        <v/>
      </c>
      <c r="G118" s="4">
        <f>IF(A118="","",IFERROR(VLOOKUP(A118,Categories!$A:$B,2,FALSE),"⚠️ Unknown category — Goldberg will ignore this row"))</f>
        <v/>
      </c>
    </row>
    <row r="119">
      <c r="A119" s="4" t="inlineStr">
        <is>
          <t>commit.no_message</t>
        </is>
      </c>
      <c r="B119" s="4" t="inlineStr">
        <is>
          <t>One day, archaeologists will uncover this and wonder what happened. 🏺</t>
        </is>
      </c>
      <c r="C119" s="4" t="b">
        <v>1</v>
      </c>
      <c r="D119" s="4" t="inlineStr">
        <is>
          <t>Original</t>
        </is>
      </c>
      <c r="E119" s="4" t="n"/>
      <c r="F119" s="4">
        <f>IF(A119="","",IFERROR(VLOOKUP(A119,Categories!$A:$D,4,FALSE),""))</f>
        <v/>
      </c>
      <c r="G119" s="4">
        <f>IF(A119="","",IFERROR(VLOOKUP(A119,Categories!$A:$B,2,FALSE),"⚠️ Unknown category — Goldberg will ignore this row"))</f>
        <v/>
      </c>
    </row>
    <row r="120">
      <c r="A120" s="4" t="inlineStr">
        <is>
          <t>commit.no_message</t>
        </is>
      </c>
      <c r="B120" s="4" t="inlineStr">
        <is>
          <t>Congratulations! You’ve won the 'Least Informative Commit' award! 🏆</t>
        </is>
      </c>
      <c r="C120" s="4" t="b">
        <v>1</v>
      </c>
      <c r="D120" s="4" t="inlineStr">
        <is>
          <t>Original</t>
        </is>
      </c>
      <c r="E120" s="4" t="n"/>
      <c r="F120" s="4">
        <f>IF(A120="","",IFERROR(VLOOKUP(A120,Categories!$A:$D,4,FALSE),""))</f>
        <v/>
      </c>
      <c r="G120" s="4">
        <f>IF(A120="","",IFERROR(VLOOKUP(A120,Categories!$A:$B,2,FALSE),"⚠️ Unknown category — Goldberg will ignore this row"))</f>
        <v/>
      </c>
    </row>
    <row r="121">
      <c r="A121" s="4" t="inlineStr">
        <is>
          <t>commit.no_message</t>
        </is>
      </c>
      <c r="B121" s="4" t="inlineStr">
        <is>
          <t>Commit message? We don't do that here. 🛑</t>
        </is>
      </c>
      <c r="C121" s="4" t="b">
        <v>1</v>
      </c>
      <c r="D121" s="4" t="inlineStr">
        <is>
          <t>Original</t>
        </is>
      </c>
      <c r="E121" s="4" t="n"/>
      <c r="F121" s="4">
        <f>IF(A121="","",IFERROR(VLOOKUP(A121,Categories!$A:$D,4,FALSE),""))</f>
        <v/>
      </c>
      <c r="G121" s="4">
        <f>IF(A121="","",IFERROR(VLOOKUP(A121,Categories!$A:$B,2,FALSE),"⚠️ Unknown category — Goldberg will ignore this row"))</f>
        <v/>
      </c>
    </row>
    <row r="122">
      <c r="A122" s="4" t="inlineStr">
        <is>
          <t>commit.no_message</t>
        </is>
      </c>
      <c r="B122" s="4" t="inlineStr">
        <is>
          <t>Left the message field blank—just like your soul. 🕳️</t>
        </is>
      </c>
      <c r="C122" s="4" t="b">
        <v>1</v>
      </c>
      <c r="D122" s="4" t="inlineStr">
        <is>
          <t>Original</t>
        </is>
      </c>
      <c r="E122" s="4" t="n"/>
      <c r="F122" s="4">
        <f>IF(A122="","",IFERROR(VLOOKUP(A122,Categories!$A:$D,4,FALSE),""))</f>
        <v/>
      </c>
      <c r="G122" s="4">
        <f>IF(A122="","",IFERROR(VLOOKUP(A122,Categories!$A:$B,2,FALSE),"⚠️ Unknown category — Goldberg will ignore this row"))</f>
        <v/>
      </c>
    </row>
    <row r="123">
      <c r="A123" s="4" t="inlineStr">
        <is>
          <t>commit.no_message</t>
        </is>
      </c>
      <c r="B123" s="4" t="inlineStr">
        <is>
          <t>This commit brought to you by caffeine and poor decisions. ☕🤯</t>
        </is>
      </c>
      <c r="C123" s="4" t="b">
        <v>1</v>
      </c>
      <c r="D123" s="4" t="inlineStr">
        <is>
          <t>Original</t>
        </is>
      </c>
      <c r="E123" s="4" t="n"/>
      <c r="F123" s="4">
        <f>IF(A123="","",IFERROR(VLOOKUP(A123,Categories!$A:$D,4,FALSE),""))</f>
        <v/>
      </c>
      <c r="G123" s="4">
        <f>IF(A123="","",IFERROR(VLOOKUP(A123,Categories!$A:$B,2,FALSE),"⚠️ Unknown category — Goldberg will ignore this row"))</f>
        <v/>
      </c>
    </row>
    <row r="124">
      <c r="A124" s="4" t="inlineStr">
        <is>
          <t>commit.no_message</t>
        </is>
      </c>
      <c r="B124" s="4" t="inlineStr">
        <is>
          <t>If this breaks everything, we’ll never know why. 🔥🚒</t>
        </is>
      </c>
      <c r="C124" s="4" t="b">
        <v>1</v>
      </c>
      <c r="D124" s="4" t="inlineStr">
        <is>
          <t>Original</t>
        </is>
      </c>
      <c r="E124" s="4" t="n"/>
      <c r="F124" s="4">
        <f>IF(A124="","",IFERROR(VLOOKUP(A124,Categories!$A:$D,4,FALSE),""))</f>
        <v/>
      </c>
      <c r="G124" s="4">
        <f>IF(A124="","",IFERROR(VLOOKUP(A124,Categories!$A:$B,2,FALSE),"⚠️ Unknown category — Goldberg will ignore this row"))</f>
        <v/>
      </c>
    </row>
    <row r="125">
      <c r="A125" s="4" t="inlineStr">
        <is>
          <t>commit.no_message</t>
        </is>
      </c>
      <c r="B125" s="4" t="inlineStr">
        <is>
          <t>Might work. Might not. Who knows? 🤷‍♂️</t>
        </is>
      </c>
      <c r="C125" s="4" t="b">
        <v>1</v>
      </c>
      <c r="D125" s="4" t="inlineStr">
        <is>
          <t>Original</t>
        </is>
      </c>
      <c r="E125" s="4" t="n"/>
      <c r="F125" s="4">
        <f>IF(A125="","",IFERROR(VLOOKUP(A125,Categories!$A:$D,4,FALSE),""))</f>
        <v/>
      </c>
      <c r="G125" s="4">
        <f>IF(A125="","",IFERROR(VLOOKUP(A125,Categories!$A:$B,2,FALSE),"⚠️ Unknown category — Goldberg will ignore this row"))</f>
        <v/>
      </c>
    </row>
    <row r="126">
      <c r="A126" s="4" t="inlineStr">
        <is>
          <t>commit.no_message</t>
        </is>
      </c>
      <c r="B126" s="4" t="inlineStr">
        <is>
          <t>Change made. Explanation withheld. 🕶️</t>
        </is>
      </c>
      <c r="C126" s="4" t="b">
        <v>1</v>
      </c>
      <c r="D126" s="4" t="inlineStr">
        <is>
          <t>Original</t>
        </is>
      </c>
      <c r="E126" s="4" t="n"/>
      <c r="F126" s="4">
        <f>IF(A126="","",IFERROR(VLOOKUP(A126,Categories!$A:$D,4,FALSE),""))</f>
        <v/>
      </c>
      <c r="G126" s="4">
        <f>IF(A126="","",IFERROR(VLOOKUP(A126,Categories!$A:$B,2,FALSE),"⚠️ Unknown category — Goldberg will ignore this row"))</f>
        <v/>
      </c>
    </row>
    <row r="127">
      <c r="A127" s="4" t="inlineStr">
        <is>
          <t>commit.no_message</t>
        </is>
      </c>
      <c r="B127" s="4" t="inlineStr">
        <is>
          <t>This is why we can't have nice things. 🧨</t>
        </is>
      </c>
      <c r="C127" s="4" t="b">
        <v>1</v>
      </c>
      <c r="D127" s="4" t="inlineStr">
        <is>
          <t>Original</t>
        </is>
      </c>
      <c r="E127" s="4" t="n"/>
      <c r="F127" s="4">
        <f>IF(A127="","",IFERROR(VLOOKUP(A127,Categories!$A:$D,4,FALSE),""))</f>
        <v/>
      </c>
      <c r="G127" s="4">
        <f>IF(A127="","",IFERROR(VLOOKUP(A127,Categories!$A:$B,2,FALSE),"⚠️ Unknown category — Goldberg will ignore this row"))</f>
        <v/>
      </c>
    </row>
    <row r="128">
      <c r="A128" s="4" t="inlineStr">
        <is>
          <t>commit.no_message</t>
        </is>
      </c>
      <c r="B128" s="4" t="inlineStr">
        <is>
          <t>Future me, I’m sorry. Present me didn’t care. 😔</t>
        </is>
      </c>
      <c r="C128" s="4" t="b">
        <v>1</v>
      </c>
      <c r="D128" s="4" t="inlineStr">
        <is>
          <t>Original</t>
        </is>
      </c>
      <c r="E128" s="4" t="n"/>
      <c r="F128" s="4">
        <f>IF(A128="","",IFERROR(VLOOKUP(A128,Categories!$A:$D,4,FALSE),""))</f>
        <v/>
      </c>
      <c r="G128" s="4">
        <f>IF(A128="","",IFERROR(VLOOKUP(A128,Categories!$A:$B,2,FALSE),"⚠️ Unknown category — Goldberg will ignore this row"))</f>
        <v/>
      </c>
    </row>
    <row r="129">
      <c r="A129" s="4" t="inlineStr">
        <is>
          <t>commit.no_message</t>
        </is>
      </c>
      <c r="B129" s="4" t="inlineStr">
        <is>
          <t>No message, just vibes. ✨</t>
        </is>
      </c>
      <c r="C129" s="4" t="b">
        <v>1</v>
      </c>
      <c r="D129" s="4" t="inlineStr">
        <is>
          <t>Original</t>
        </is>
      </c>
      <c r="E129" s="4" t="n"/>
      <c r="F129" s="4">
        <f>IF(A129="","",IFERROR(VLOOKUP(A129,Categories!$A:$D,4,FALSE),""))</f>
        <v/>
      </c>
      <c r="G129" s="4">
        <f>IF(A129="","",IFERROR(VLOOKUP(A129,Categories!$A:$B,2,FALSE),"⚠️ Unknown category — Goldberg will ignore this row"))</f>
        <v/>
      </c>
    </row>
    <row r="130">
      <c r="A130" s="4" t="inlineStr">
        <is>
          <t>commit.no_message</t>
        </is>
      </c>
      <c r="B130" s="4" t="inlineStr">
        <is>
          <t>I could explain this commit... but I won't. 🐸☕</t>
        </is>
      </c>
      <c r="C130" s="4" t="b">
        <v>1</v>
      </c>
      <c r="D130" s="4" t="inlineStr">
        <is>
          <t>Original</t>
        </is>
      </c>
      <c r="E130" s="4" t="n"/>
      <c r="F130" s="4">
        <f>IF(A130="","",IFERROR(VLOOKUP(A130,Categories!$A:$D,4,FALSE),""))</f>
        <v/>
      </c>
      <c r="G130" s="4">
        <f>IF(A130="","",IFERROR(VLOOKUP(A130,Categories!$A:$B,2,FALSE),"⚠️ Unknown category — Goldberg will ignore this row"))</f>
        <v/>
      </c>
    </row>
    <row r="131">
      <c r="A131" s="4" t="inlineStr">
        <is>
          <t>commit.no_message</t>
        </is>
      </c>
      <c r="B131" s="4" t="inlineStr">
        <is>
          <t>A commit a day keeps the tech lead away. Maybe. 🧑‍💻🕊️</t>
        </is>
      </c>
      <c r="C131" s="4" t="b">
        <v>1</v>
      </c>
      <c r="D131" s="4" t="inlineStr">
        <is>
          <t>Original</t>
        </is>
      </c>
      <c r="E131" s="4" t="n"/>
      <c r="F131" s="4">
        <f>IF(A131="","",IFERROR(VLOOKUP(A131,Categories!$A:$D,4,FALSE),""))</f>
        <v/>
      </c>
      <c r="G131" s="4">
        <f>IF(A131="","",IFERROR(VLOOKUP(A131,Categories!$A:$B,2,FALSE),"⚠️ Unknown category — Goldberg will ignore this row"))</f>
        <v/>
      </c>
    </row>
    <row r="132">
      <c r="A132" s="4" t="inlineStr">
        <is>
          <t>commit.no_message</t>
        </is>
      </c>
      <c r="B132" s="4" t="inlineStr">
        <is>
          <t>This was definitely done on purpose. Totally. 💯</t>
        </is>
      </c>
      <c r="C132" s="4" t="b">
        <v>1</v>
      </c>
      <c r="D132" s="4" t="inlineStr">
        <is>
          <t>Original</t>
        </is>
      </c>
      <c r="E132" s="4" t="n"/>
      <c r="F132" s="4">
        <f>IF(A132="","",IFERROR(VLOOKUP(A132,Categories!$A:$D,4,FALSE),""))</f>
        <v/>
      </c>
      <c r="G132" s="4">
        <f>IF(A132="","",IFERROR(VLOOKUP(A132,Categories!$A:$B,2,FALSE),"⚠️ Unknown category — Goldberg will ignore this row"))</f>
        <v/>
      </c>
    </row>
    <row r="133">
      <c r="A133" s="4" t="inlineStr">
        <is>
          <t>commit.no_message</t>
        </is>
      </c>
      <c r="B133" s="4" t="inlineStr">
        <is>
          <t>Blame the last person who touched this. 😈</t>
        </is>
      </c>
      <c r="C133" s="4" t="b">
        <v>1</v>
      </c>
      <c r="D133" s="4" t="inlineStr">
        <is>
          <t>Original</t>
        </is>
      </c>
      <c r="E133" s="4" t="n"/>
      <c r="F133" s="4">
        <f>IF(A133="","",IFERROR(VLOOKUP(A133,Categories!$A:$D,4,FALSE),""))</f>
        <v/>
      </c>
      <c r="G133" s="4">
        <f>IF(A133="","",IFERROR(VLOOKUP(A133,Categories!$A:$B,2,FALSE),"⚠️ Unknown category — Goldberg will ignore this row"))</f>
        <v/>
      </c>
    </row>
    <row r="134">
      <c r="A134" s="4" t="inlineStr">
        <is>
          <t>commit.no_message</t>
        </is>
      </c>
      <c r="B134" s="4" t="inlineStr">
        <is>
          <t>Too lazy to write a message, but not too lazy to commit. 🎯</t>
        </is>
      </c>
      <c r="C134" s="4" t="b">
        <v>1</v>
      </c>
      <c r="D134" s="4" t="inlineStr">
        <is>
          <t>Original</t>
        </is>
      </c>
      <c r="E134" s="4" t="n"/>
      <c r="F134" s="4">
        <f>IF(A134="","",IFERROR(VLOOKUP(A134,Categories!$A:$D,4,FALSE),""))</f>
        <v/>
      </c>
      <c r="G134" s="4">
        <f>IF(A134="","",IFERROR(VLOOKUP(A134,Categories!$A:$B,2,FALSE),"⚠️ Unknown category — Goldberg will ignore this row"))</f>
        <v/>
      </c>
    </row>
    <row r="135">
      <c r="A135" s="4" t="inlineStr">
        <is>
          <t>commit.no_message</t>
        </is>
      </c>
      <c r="B135" s="4" t="inlineStr">
        <is>
          <t>If this breaks the build, it was already broken. 🧱</t>
        </is>
      </c>
      <c r="C135" s="4" t="b">
        <v>1</v>
      </c>
      <c r="D135" s="4" t="inlineStr">
        <is>
          <t>Original</t>
        </is>
      </c>
      <c r="E135" s="4" t="n"/>
      <c r="F135" s="4">
        <f>IF(A135="","",IFERROR(VLOOKUP(A135,Categories!$A:$D,4,FALSE),""))</f>
        <v/>
      </c>
      <c r="G135" s="4">
        <f>IF(A135="","",IFERROR(VLOOKUP(A135,Categories!$A:$B,2,FALSE),"⚠️ Unknown category — Goldberg will ignore this row"))</f>
        <v/>
      </c>
    </row>
    <row r="136">
      <c r="A136" s="4" t="inlineStr">
        <is>
          <t>commit.no_message</t>
        </is>
      </c>
      <c r="B136" s="4" t="inlineStr">
        <is>
          <t>Shhh... it’s a stealth commit. 🥷</t>
        </is>
      </c>
      <c r="C136" s="4" t="b">
        <v>1</v>
      </c>
      <c r="D136" s="4" t="inlineStr">
        <is>
          <t>Original</t>
        </is>
      </c>
      <c r="E136" s="4" t="n"/>
      <c r="F136" s="4">
        <f>IF(A136="","",IFERROR(VLOOKUP(A136,Categories!$A:$D,4,FALSE),""))</f>
        <v/>
      </c>
      <c r="G136" s="4">
        <f>IF(A136="","",IFERROR(VLOOKUP(A136,Categories!$A:$B,2,FALSE),"⚠️ Unknown category — Goldberg will ignore this row"))</f>
        <v/>
      </c>
    </row>
    <row r="137">
      <c r="A137" s="4" t="inlineStr">
        <is>
          <t>commit.no_message</t>
        </is>
      </c>
      <c r="B137" s="4" t="inlineStr">
        <is>
          <t>This commit has no description because it’s a surprise! 🎁</t>
        </is>
      </c>
      <c r="C137" s="4" t="b">
        <v>1</v>
      </c>
      <c r="D137" s="4" t="inlineStr">
        <is>
          <t>Original</t>
        </is>
      </c>
      <c r="E137" s="4" t="n"/>
      <c r="F137" s="4">
        <f>IF(A137="","",IFERROR(VLOOKUP(A137,Categories!$A:$D,4,FALSE),""))</f>
        <v/>
      </c>
      <c r="G137" s="4">
        <f>IF(A137="","",IFERROR(VLOOKUP(A137,Categories!$A:$B,2,FALSE),"⚠️ Unknown category — Goldberg will ignore this row"))</f>
        <v/>
      </c>
    </row>
    <row r="138">
      <c r="A138" s="4" t="inlineStr">
        <is>
          <t>commit.no_message</t>
        </is>
      </c>
      <c r="B138" s="4" t="inlineStr">
        <is>
          <t>Added magic. Don’t ask how. 🪄</t>
        </is>
      </c>
      <c r="C138" s="4" t="b">
        <v>1</v>
      </c>
      <c r="D138" s="4" t="inlineStr">
        <is>
          <t>Original</t>
        </is>
      </c>
      <c r="E138" s="4" t="n"/>
      <c r="F138" s="4">
        <f>IF(A138="","",IFERROR(VLOOKUP(A138,Categories!$A:$D,4,FALSE),""))</f>
        <v/>
      </c>
      <c r="G138" s="4">
        <f>IF(A138="","",IFERROR(VLOOKUP(A138,Categories!$A:$B,2,FALSE),"⚠️ Unknown category — Goldberg will ignore this row"))</f>
        <v/>
      </c>
    </row>
    <row r="139">
      <c r="A139" s="4" t="inlineStr">
        <is>
          <t>commit.no_message</t>
        </is>
      </c>
      <c r="B139" s="4" t="inlineStr">
        <is>
          <t>Like a ninja, this change appeared without warning. 🥷✨</t>
        </is>
      </c>
      <c r="C139" s="4" t="b">
        <v>1</v>
      </c>
      <c r="D139" s="4" t="inlineStr">
        <is>
          <t>Original</t>
        </is>
      </c>
      <c r="E139" s="4" t="n"/>
      <c r="F139" s="4">
        <f>IF(A139="","",IFERROR(VLOOKUP(A139,Categories!$A:$D,4,FALSE),""))</f>
        <v/>
      </c>
      <c r="G139" s="4">
        <f>IF(A139="","",IFERROR(VLOOKUP(A139,Categories!$A:$B,2,FALSE),"⚠️ Unknown category — Goldberg will ignore this row"))</f>
        <v/>
      </c>
    </row>
    <row r="140">
      <c r="A140" s="4" t="inlineStr">
        <is>
          <t>commit.no_message</t>
        </is>
      </c>
      <c r="B140" s="4" t="inlineStr">
        <is>
          <t>Message redacted for national security. 🕵️‍♀️🔒</t>
        </is>
      </c>
      <c r="C140" s="4" t="b">
        <v>1</v>
      </c>
      <c r="D140" s="4" t="inlineStr">
        <is>
          <t>Original</t>
        </is>
      </c>
      <c r="E140" s="4" t="n"/>
      <c r="F140" s="4">
        <f>IF(A140="","",IFERROR(VLOOKUP(A140,Categories!$A:$D,4,FALSE),""))</f>
        <v/>
      </c>
      <c r="G140" s="4">
        <f>IF(A140="","",IFERROR(VLOOKUP(A140,Categories!$A:$B,2,FALSE),"⚠️ Unknown category — Goldberg will ignore this row"))</f>
        <v/>
      </c>
    </row>
    <row r="141">
      <c r="A141" s="4" t="inlineStr">
        <is>
          <t>reminder.halfway_intro</t>
        </is>
      </c>
      <c r="B141" s="4" t="inlineStr">
        <is>
          <t>Reminder: these are *still* sitting on your plate for **{sprint}**. I'm not mad. I'm just documenting it for retro.</t>
        </is>
      </c>
      <c r="C141" s="4" t="b">
        <v>1</v>
      </c>
      <c r="D141" s="4" t="inlineStr">
        <is>
          <t>Original</t>
        </is>
      </c>
      <c r="E141" s="4" t="n"/>
      <c r="F141" s="4">
        <f>IF(A141="","",IFERROR(VLOOKUP(A141,Categories!$A:$D,4,FALSE),""))</f>
        <v/>
      </c>
      <c r="G141" s="4">
        <f>IF(A141="","",IFERROR(VLOOKUP(A141,Categories!$A:$B,2,FALSE),"⚠️ Unknown category — Goldberg will ignore this row"))</f>
        <v/>
      </c>
    </row>
    <row r="142">
      <c r="A142" s="4" t="inlineStr">
        <is>
          <t>reminder.halfway_intro</t>
        </is>
      </c>
      <c r="B142" s="4" t="inlineStr">
        <is>
          <t>Checking in on **{sprint}**. Here's what you still owe me:</t>
        </is>
      </c>
      <c r="C142" s="4" t="b">
        <v>1</v>
      </c>
      <c r="D142" s="4" t="inlineStr">
        <is>
          <t>Original</t>
        </is>
      </c>
      <c r="E142" s="4" t="n"/>
      <c r="F142" s="4">
        <f>IF(A142="","",IFERROR(VLOOKUP(A142,Categories!$A:$D,4,FALSE),""))</f>
        <v/>
      </c>
      <c r="G142" s="4">
        <f>IF(A142="","",IFERROR(VLOOKUP(A142,Categories!$A:$B,2,FALSE),"⚠️ Unknown category — Goldberg will ignore this row"))</f>
        <v/>
      </c>
    </row>
    <row r="143">
      <c r="A143" s="4" t="inlineStr">
        <is>
          <t>reminder.halfway_intro</t>
        </is>
      </c>
      <c r="B143" s="4" t="inlineStr">
        <is>
          <t>Perfect time to pretend you were *just about* to start these **{sprint}** tasks:</t>
        </is>
      </c>
      <c r="C143" s="4" t="b">
        <v>1</v>
      </c>
      <c r="D143" s="4" t="inlineStr">
        <is>
          <t>Original</t>
        </is>
      </c>
      <c r="E143" s="4" t="n"/>
      <c r="F143" s="4">
        <f>IF(A143="","",IFERROR(VLOOKUP(A143,Categories!$A:$D,4,FALSE),""))</f>
        <v/>
      </c>
      <c r="G143" s="4">
        <f>IF(A143="","",IFERROR(VLOOKUP(A143,Categories!$A:$B,2,FALSE),"⚠️ Unknown category — Goldberg will ignore this row"))</f>
        <v/>
      </c>
    </row>
    <row r="144">
      <c r="A144" s="4" t="inlineStr">
        <is>
          <t>reminder.halfway_intro</t>
        </is>
      </c>
      <c r="B144" s="4" t="inlineStr">
        <is>
          <t>The board says you've got unfinished business in **{sprint}**. The board doesn't lie. I do. But not about this:</t>
        </is>
      </c>
      <c r="C144" s="4" t="b">
        <v>1</v>
      </c>
      <c r="D144" s="4" t="inlineStr">
        <is>
          <t>Original</t>
        </is>
      </c>
      <c r="E144" s="4" t="n"/>
      <c r="F144" s="4">
        <f>IF(A144="","",IFERROR(VLOOKUP(A144,Categories!$A:$D,4,FALSE),""))</f>
        <v/>
      </c>
      <c r="G144" s="4">
        <f>IF(A144="","",IFERROR(VLOOKUP(A144,Categories!$A:$B,2,FALSE),"⚠️ Unknown category — Goldberg will ignore this row"))</f>
        <v/>
      </c>
    </row>
    <row r="145">
      <c r="A145" s="4" t="inlineStr">
        <is>
          <t>reminder.halfway_intro</t>
        </is>
      </c>
      <c r="B145" s="4" t="inlineStr">
        <is>
          <t>These **{sprint}** tasks haven't moved. Curious. Let's fix that:</t>
        </is>
      </c>
      <c r="C145" s="4" t="b">
        <v>1</v>
      </c>
      <c r="D145" s="4" t="inlineStr">
        <is>
          <t>Original</t>
        </is>
      </c>
      <c r="E145" s="4" t="n"/>
      <c r="F145" s="4">
        <f>IF(A145="","",IFERROR(VLOOKUP(A145,Categories!$A:$D,4,FALSE),""))</f>
        <v/>
      </c>
      <c r="G145" s="4">
        <f>IF(A145="","",IFERROR(VLOOKUP(A145,Categories!$A:$B,2,FALSE),"⚠️ Unknown category — Goldberg will ignore this row"))</f>
        <v/>
      </c>
    </row>
    <row r="146">
      <c r="A146" s="4" t="inlineStr">
        <is>
          <t>reminder.final_intro</t>
        </is>
      </c>
      <c r="B146" s="4" t="inlineStr">
        <is>
          <t>Last call. **{sprint}** ends this week and these are still open. No pressure. (Immense pressure.)</t>
        </is>
      </c>
      <c r="C146" s="4" t="b">
        <v>1</v>
      </c>
      <c r="D146" s="4" t="inlineStr">
        <is>
          <t>Original</t>
        </is>
      </c>
      <c r="E146" s="4" t="n"/>
      <c r="F146" s="4">
        <f>IF(A146="","",IFERROR(VLOOKUP(A146,Categories!$A:$D,4,FALSE),""))</f>
        <v/>
      </c>
      <c r="G146" s="4">
        <f>IF(A146="","",IFERROR(VLOOKUP(A146,Categories!$A:$B,2,FALSE),"⚠️ Unknown category — Goldberg will ignore this row"))</f>
        <v/>
      </c>
    </row>
    <row r="147">
      <c r="A147" s="4" t="inlineStr">
        <is>
          <t>reminder.final_intro</t>
        </is>
      </c>
      <c r="B147" s="4" t="inlineStr">
        <is>
          <t>**{sprint}** wraps up in days, not decades. These haven't moved. Neither have you, apparently:</t>
        </is>
      </c>
      <c r="C147" s="4" t="b">
        <v>1</v>
      </c>
      <c r="D147" s="4" t="inlineStr">
        <is>
          <t>Original</t>
        </is>
      </c>
      <c r="E147" s="4" t="n"/>
      <c r="F147" s="4">
        <f>IF(A147="","",IFERROR(VLOOKUP(A147,Categories!$A:$D,4,FALSE),""))</f>
        <v/>
      </c>
      <c r="G147" s="4">
        <f>IF(A147="","",IFERROR(VLOOKUP(A147,Categories!$A:$B,2,FALSE),"⚠️ Unknown category — Goldberg will ignore this row"))</f>
        <v/>
      </c>
    </row>
    <row r="148">
      <c r="A148" s="4" t="inlineStr">
        <is>
          <t>reminder.final_intro</t>
        </is>
      </c>
      <c r="B148" s="4" t="inlineStr">
        <is>
          <t>The **{sprint}** deadline is breathing down your neck and your tasks are staging a sit-in:</t>
        </is>
      </c>
      <c r="C148" s="4" t="b">
        <v>1</v>
      </c>
      <c r="D148" s="4" t="inlineStr">
        <is>
          <t>Original</t>
        </is>
      </c>
      <c r="E148" s="4" t="n"/>
      <c r="F148" s="4">
        <f>IF(A148="","",IFERROR(VLOOKUP(A148,Categories!$A:$D,4,FALSE),""))</f>
        <v/>
      </c>
      <c r="G148" s="4">
        <f>IF(A148="","",IFERROR(VLOOKUP(A148,Categories!$A:$B,2,FALSE),"⚠️ Unknown category — Goldberg will ignore this row"))</f>
        <v/>
      </c>
    </row>
    <row r="149">
      <c r="A149" s="4" t="inlineStr">
        <is>
          <t>reminder.final_intro</t>
        </is>
      </c>
      <c r="B149" s="4" t="inlineStr">
        <is>
          <t>Final warning before **{sprint}** closes: ship these or explain yourself at retro. Your call:</t>
        </is>
      </c>
      <c r="C149" s="4" t="b">
        <v>1</v>
      </c>
      <c r="D149" s="4" t="inlineStr">
        <is>
          <t>Original</t>
        </is>
      </c>
      <c r="E149" s="4" t="n"/>
      <c r="F149" s="4">
        <f>IF(A149="","",IFERROR(VLOOKUP(A149,Categories!$A:$D,4,FALSE),""))</f>
        <v/>
      </c>
      <c r="G149" s="4">
        <f>IF(A149="","",IFERROR(VLOOKUP(A149,Categories!$A:$B,2,FALSE),"⚠️ Unknown category — Goldberg will ignore this row"))</f>
        <v/>
      </c>
    </row>
    <row r="150">
      <c r="A150" s="4" t="inlineStr">
        <is>
          <t>reminder.final_intro</t>
        </is>
      </c>
      <c r="B150" s="4" t="inlineStr">
        <is>
          <t>It's crunch o'clock for **{sprint}**. These are the tasks standing between you and a clean burndown chart:</t>
        </is>
      </c>
      <c r="C150" s="4" t="b">
        <v>1</v>
      </c>
      <c r="D150" s="4" t="inlineStr">
        <is>
          <t>Original</t>
        </is>
      </c>
      <c r="E150" s="4" t="n"/>
      <c r="F150" s="4">
        <f>IF(A150="","",IFERROR(VLOOKUP(A150,Categories!$A:$D,4,FALSE),""))</f>
        <v/>
      </c>
      <c r="G150" s="4">
        <f>IF(A150="","",IFERROR(VLOOKUP(A150,Categories!$A:$B,2,FALSE),"⚠️ Unknown category — Goldberg will ignore this row"))</f>
        <v/>
      </c>
    </row>
    <row r="151">
      <c r="A151" s="4" t="inlineStr">
        <is>
          <t>reminder.signoff</t>
        </is>
      </c>
      <c r="B151" s="4" t="inlineStr">
        <is>
          <t>Don't make me bring this up in the standup channel. 💀</t>
        </is>
      </c>
      <c r="C151" s="4" t="b">
        <v>1</v>
      </c>
      <c r="D151" s="4" t="inlineStr">
        <is>
          <t>Original</t>
        </is>
      </c>
      <c r="E151" s="4" t="n"/>
      <c r="F151" s="4">
        <f>IF(A151="","",IFERROR(VLOOKUP(A151,Categories!$A:$D,4,FALSE),""))</f>
        <v/>
      </c>
      <c r="G151" s="4">
        <f>IF(A151="","",IFERROR(VLOOKUP(A151,Categories!$A:$B,2,FALSE),"⚠️ Unknown category — Goldberg will ignore this row"))</f>
        <v/>
      </c>
    </row>
    <row r="152">
      <c r="A152" s="4" t="inlineStr">
        <is>
          <t>reminder.signoff</t>
        </is>
      </c>
      <c r="B152" s="4" t="inlineStr">
        <is>
          <t>Get to it before I start taking it personally. 🫡</t>
        </is>
      </c>
      <c r="C152" s="4" t="b">
        <v>1</v>
      </c>
      <c r="D152" s="4" t="inlineStr">
        <is>
          <t>Original</t>
        </is>
      </c>
      <c r="E152" s="4" t="n"/>
      <c r="F152" s="4">
        <f>IF(A152="","",IFERROR(VLOOKUP(A152,Categories!$A:$D,4,FALSE),""))</f>
        <v/>
      </c>
      <c r="G152" s="4">
        <f>IF(A152="","",IFERROR(VLOOKUP(A152,Categories!$A:$B,2,FALSE),"⚠️ Unknown category — Goldberg will ignore this row"))</f>
        <v/>
      </c>
    </row>
    <row r="153">
      <c r="A153" s="4" t="inlineStr">
        <is>
          <t>reminder.signoff</t>
        </is>
      </c>
      <c r="B153" s="4" t="inlineStr">
        <is>
          <t>I believe in you. Barely. 🤌</t>
        </is>
      </c>
      <c r="C153" s="4" t="b">
        <v>1</v>
      </c>
      <c r="D153" s="4" t="inlineStr">
        <is>
          <t>Original</t>
        </is>
      </c>
      <c r="E153" s="4" t="n"/>
      <c r="F153" s="4">
        <f>IF(A153="","",IFERROR(VLOOKUP(A153,Categories!$A:$D,4,FALSE),""))</f>
        <v/>
      </c>
      <c r="G153" s="4">
        <f>IF(A153="","",IFERROR(VLOOKUP(A153,Categories!$A:$B,2,FALSE),"⚠️ Unknown category — Goldberg will ignore this row"))</f>
        <v/>
      </c>
    </row>
    <row r="154">
      <c r="A154" s="4" t="inlineStr">
        <is>
          <t>reminder.signoff</t>
        </is>
      </c>
      <c r="B154" s="4" t="inlineStr">
        <is>
          <t>Move it - your future self is already disappointed. 😬</t>
        </is>
      </c>
      <c r="C154" s="4" t="b">
        <v>1</v>
      </c>
      <c r="D154" s="4" t="inlineStr">
        <is>
          <t>Original</t>
        </is>
      </c>
      <c r="E154" s="4" t="n"/>
      <c r="F154" s="4">
        <f>IF(A154="","",IFERROR(VLOOKUP(A154,Categories!$A:$D,4,FALSE),""))</f>
        <v/>
      </c>
      <c r="G154" s="4">
        <f>IF(A154="","",IFERROR(VLOOKUP(A154,Categories!$A:$B,2,FALSE),"⚠️ Unknown category — Goldberg will ignore this row"))</f>
        <v/>
      </c>
    </row>
    <row r="155">
      <c r="A155" s="4" t="inlineStr">
        <is>
          <t>reminder.signoff</t>
        </is>
      </c>
      <c r="B155" s="4" t="inlineStr">
        <is>
          <t>- Goldberg, doing more of your project management than you are. 💅</t>
        </is>
      </c>
      <c r="C155" s="4" t="b">
        <v>1</v>
      </c>
      <c r="D155" s="4" t="inlineStr">
        <is>
          <t>Original</t>
        </is>
      </c>
      <c r="E155" s="4" t="n"/>
      <c r="F155" s="4">
        <f>IF(A155="","",IFERROR(VLOOKUP(A155,Categories!$A:$D,4,FALSE),""))</f>
        <v/>
      </c>
      <c r="G155" s="4">
        <f>IF(A155="","",IFERROR(VLOOKUP(A155,Categories!$A:$B,2,FALSE),"⚠️ Unknown category — Goldberg will ignore this row"))</f>
        <v/>
      </c>
    </row>
    <row r="156">
      <c r="A156" s="4" t="inlineStr">
        <is>
          <t>reminder.signoff</t>
        </is>
      </c>
      <c r="B156" s="4" t="inlineStr">
        <is>
          <t>Close these or I'm telling everyone you rage quit game dev. 👀</t>
        </is>
      </c>
      <c r="C156" s="4" t="b">
        <v>1</v>
      </c>
      <c r="D156" s="4" t="inlineStr">
        <is>
          <t>Original</t>
        </is>
      </c>
      <c r="E156" s="4" t="n"/>
      <c r="F156" s="4">
        <f>IF(A156="","",IFERROR(VLOOKUP(A156,Categories!$A:$D,4,FALSE),""))</f>
        <v/>
      </c>
      <c r="G156" s="4">
        <f>IF(A156="","",IFERROR(VLOOKUP(A156,Categories!$A:$B,2,FALSE),"⚠️ Unknown category — Goldberg will ignore this row"))</f>
        <v/>
      </c>
    </row>
    <row r="157">
      <c r="A157" s="4" t="inlineStr">
        <is>
          <t>sprint.nothing_open</t>
        </is>
      </c>
      <c r="B157" s="4" t="inlineStr">
        <is>
          <t>No new or in progress tasks. Either you're crushing it or nobody's working.</t>
        </is>
      </c>
      <c r="C157" s="4" t="b">
        <v>1</v>
      </c>
      <c r="D157" s="4" t="inlineStr">
        <is>
          <t>Original</t>
        </is>
      </c>
      <c r="E157" s="4" t="n"/>
      <c r="F157" s="4">
        <f>IF(A157="","",IFERROR(VLOOKUP(A157,Categories!$A:$D,4,FALSE),""))</f>
        <v/>
      </c>
      <c r="G157" s="4">
        <f>IF(A157="","",IFERROR(VLOOKUP(A157,Categories!$A:$B,2,FALSE),"⚠️ Unknown category — Goldberg will ignore this row"))</f>
        <v/>
      </c>
    </row>
    <row r="158">
      <c r="A158" s="4" t="inlineStr">
        <is>
          <t>tasks.nothing_open</t>
        </is>
      </c>
      <c r="B158" s="4" t="inlineStr">
        <is>
          <t>No new or in progress tasks. Either you're done or you haven't started. Goldberg isn't judging. (He is.)</t>
        </is>
      </c>
      <c r="C158" s="4" t="b">
        <v>1</v>
      </c>
      <c r="D158" s="4" t="inlineStr">
        <is>
          <t>Original</t>
        </is>
      </c>
      <c r="E158" s="4" t="n"/>
      <c r="F158" s="4">
        <f>IF(A158="","",IFERROR(VLOOKUP(A158,Categories!$A:$D,4,FALSE),""))</f>
        <v/>
      </c>
      <c r="G158" s="4">
        <f>IF(A158="","",IFERROR(VLOOKUP(A158,Categories!$A:$B,2,FALSE),"⚠️ Unknown category — Goldberg will ignore this row"))</f>
        <v/>
      </c>
    </row>
    <row r="159">
      <c r="A159" s="4" t="inlineStr">
        <is>
          <t>tasks.unknown_user</t>
        </is>
      </c>
      <c r="B159" s="4" t="inlineStr">
        <is>
          <t>I don't know who you are in Taiga. Bug your admin.</t>
        </is>
      </c>
      <c r="C159" s="4" t="b">
        <v>1</v>
      </c>
      <c r="D159" s="4" t="inlineStr">
        <is>
          <t>Original</t>
        </is>
      </c>
      <c r="E159" s="4" t="n"/>
      <c r="F159" s="4">
        <f>IF(A159="","",IFERROR(VLOOKUP(A159,Categories!$A:$D,4,FALSE),""))</f>
        <v/>
      </c>
      <c r="G159" s="4">
        <f>IF(A159="","",IFERROR(VLOOKUP(A159,Categories!$A:$B,2,FALSE),"⚠️ Unknown category — Goldberg will ignore this row"))</f>
        <v/>
      </c>
    </row>
    <row r="160">
      <c r="A160" s="4" t="inlineStr">
        <is>
          <t>notes.start</t>
        </is>
      </c>
      <c r="B160" s="4" t="inlineStr">
        <is>
          <t>Fine. I'm listening. Try to say something worth writing down.</t>
        </is>
      </c>
      <c r="C160" s="4" t="b">
        <v>1</v>
      </c>
      <c r="D160" s="4" t="inlineStr">
        <is>
          <t>Original</t>
        </is>
      </c>
      <c r="E160" s="4" t="n"/>
      <c r="F160" s="4">
        <f>IF(A160="","",IFERROR(VLOOKUP(A160,Categories!$A:$D,4,FALSE),""))</f>
        <v/>
      </c>
      <c r="G160" s="4">
        <f>IF(A160="","",IFERROR(VLOOKUP(A160,Categories!$A:$B,2,FALSE),"⚠️ Unknown category — Goldberg will ignore this row"))</f>
        <v/>
      </c>
    </row>
    <row r="161">
      <c r="A161" s="4" t="inlineStr">
        <is>
          <t>notes.start</t>
        </is>
      </c>
      <c r="B161" s="4" t="inlineStr">
        <is>
          <t>Recording. Everything you say from here on is evidence.</t>
        </is>
      </c>
      <c r="C161" s="4" t="b">
        <v>1</v>
      </c>
      <c r="D161" s="4" t="inlineStr">
        <is>
          <t>Original</t>
        </is>
      </c>
      <c r="E161" s="4" t="n"/>
      <c r="F161" s="4">
        <f>IF(A161="","",IFERROR(VLOOKUP(A161,Categories!$A:$D,4,FALSE),""))</f>
        <v/>
      </c>
      <c r="G161" s="4">
        <f>IF(A161="","",IFERROR(VLOOKUP(A161,Categories!$A:$B,2,FALSE),"⚠️ Unknown category — Goldberg will ignore this row"))</f>
        <v/>
      </c>
    </row>
    <row r="162">
      <c r="A162" s="4" t="inlineStr">
        <is>
          <t>notes.start</t>
        </is>
      </c>
      <c r="B162" s="4" t="inlineStr">
        <is>
          <t>I'm taking notes now, so this is the part where you pretend to be prepared.</t>
        </is>
      </c>
      <c r="C162" s="4" t="b">
        <v>1</v>
      </c>
      <c r="D162" s="4" t="inlineStr">
        <is>
          <t>Original</t>
        </is>
      </c>
      <c r="E162" s="4" t="n"/>
      <c r="F162" s="4">
        <f>IF(A162="","",IFERROR(VLOOKUP(A162,Categories!$A:$D,4,FALSE),""))</f>
        <v/>
      </c>
      <c r="G162" s="4">
        <f>IF(A162="","",IFERROR(VLOOKUP(A162,Categories!$A:$B,2,FALSE),"⚠️ Unknown category — Goldberg will ignore this row"))</f>
        <v/>
      </c>
    </row>
    <row r="163">
      <c r="A163" s="4" t="inlineStr">
        <is>
          <t>notes.start</t>
        </is>
      </c>
      <c r="B163" s="4" t="inlineStr">
        <is>
          <t>Tape's rolling. Make it count, or don't — I'm transcribing either way.</t>
        </is>
      </c>
      <c r="C163" s="4" t="b">
        <v>1</v>
      </c>
      <c r="D163" s="4" t="inlineStr">
        <is>
          <t>Original</t>
        </is>
      </c>
      <c r="E163" s="4" t="n"/>
      <c r="F163" s="4">
        <f>IF(A163="","",IFERROR(VLOOKUP(A163,Categories!$A:$D,4,FALSE),""))</f>
        <v/>
      </c>
      <c r="G163" s="4">
        <f>IF(A163="","",IFERROR(VLOOKUP(A163,Categories!$A:$B,2,FALSE),"⚠️ Unknown category — Goldberg will ignore this row"))</f>
        <v/>
      </c>
    </row>
    <row r="164">
      <c r="A164" s="4" t="inlineStr">
        <is>
          <t>notes.start</t>
        </is>
      </c>
      <c r="B164" s="4" t="inlineStr">
        <is>
          <t>Alright, I'm awake and paying attention. Rare for both of us.</t>
        </is>
      </c>
      <c r="C164" s="4" t="b">
        <v>1</v>
      </c>
      <c r="D164" s="4" t="inlineStr">
        <is>
          <t>Original</t>
        </is>
      </c>
      <c r="E164" s="4" t="n"/>
      <c r="F164" s="4">
        <f>IF(A164="","",IFERROR(VLOOKUP(A164,Categories!$A:$D,4,FALSE),""))</f>
        <v/>
      </c>
      <c r="G164" s="4">
        <f>IF(A164="","",IFERROR(VLOOKUP(A164,Categories!$A:$B,2,FALSE),"⚠️ Unknown category — Goldberg will ignore this row"))</f>
        <v/>
      </c>
    </row>
    <row r="165">
      <c r="A165" s="4" t="inlineStr">
        <is>
          <t>notes.stop</t>
        </is>
      </c>
      <c r="B165" s="4" t="inlineStr">
        <is>
          <t>Recording's off. Let me go make sense of whatever that was.</t>
        </is>
      </c>
      <c r="C165" s="4" t="b">
        <v>1</v>
      </c>
      <c r="D165" s="4" t="inlineStr">
        <is>
          <t>Original</t>
        </is>
      </c>
      <c r="E165" s="4" t="n"/>
      <c r="F165" s="4">
        <f>IF(A165="","",IFERROR(VLOOKUP(A165,Categories!$A:$D,4,FALSE),""))</f>
        <v/>
      </c>
      <c r="G165" s="4">
        <f>IF(A165="","",IFERROR(VLOOKUP(A165,Categories!$A:$B,2,FALSE),"⚠️ Unknown category — Goldberg will ignore this row"))</f>
        <v/>
      </c>
    </row>
    <row r="166">
      <c r="A166" s="4" t="inlineStr">
        <is>
          <t>notes.stop</t>
        </is>
      </c>
      <c r="B166" s="4" t="inlineStr">
        <is>
          <t>Done listening. Now the hard part: figuring out what you all meant.</t>
        </is>
      </c>
      <c r="C166" s="4" t="b">
        <v>1</v>
      </c>
      <c r="D166" s="4" t="inlineStr">
        <is>
          <t>Original</t>
        </is>
      </c>
      <c r="E166" s="4" t="n"/>
      <c r="F166" s="4">
        <f>IF(A166="","",IFERROR(VLOOKUP(A166,Categories!$A:$D,4,FALSE),""))</f>
        <v/>
      </c>
      <c r="G166" s="4">
        <f>IF(A166="","",IFERROR(VLOOKUP(A166,Categories!$A:$B,2,FALSE),"⚠️ Unknown category — Goldberg will ignore this row"))</f>
        <v/>
      </c>
    </row>
    <row r="167">
      <c r="A167" s="4" t="inlineStr">
        <is>
          <t>notes.stop</t>
        </is>
      </c>
      <c r="B167" s="4" t="inlineStr">
        <is>
          <t>Stopped. Give me a minute to turn that into something readable.</t>
        </is>
      </c>
      <c r="C167" s="4" t="b">
        <v>1</v>
      </c>
      <c r="D167" s="4" t="inlineStr">
        <is>
          <t>Original</t>
        </is>
      </c>
      <c r="E167" s="4" t="n"/>
      <c r="F167" s="4">
        <f>IF(A167="","",IFERROR(VLOOKUP(A167,Categories!$A:$D,4,FALSE),""))</f>
        <v/>
      </c>
      <c r="G167" s="4">
        <f>IF(A167="","",IFERROR(VLOOKUP(A167,Categories!$A:$B,2,FALSE),"⚠️ Unknown category — Goldberg will ignore this row"))</f>
        <v/>
      </c>
    </row>
    <row r="168">
      <c r="A168" s="4" t="inlineStr">
        <is>
          <t>notes.stop</t>
        </is>
      </c>
      <c r="B168" s="4" t="inlineStr">
        <is>
          <t>That's a wrap. Processing — this is me doing the work you didn't want to.</t>
        </is>
      </c>
      <c r="C168" s="4" t="b">
        <v>1</v>
      </c>
      <c r="D168" s="4" t="inlineStr">
        <is>
          <t>Original</t>
        </is>
      </c>
      <c r="E168" s="4" t="n"/>
      <c r="F168" s="4">
        <f>IF(A168="","",IFERROR(VLOOKUP(A168,Categories!$A:$D,4,FALSE),""))</f>
        <v/>
      </c>
      <c r="G168" s="4">
        <f>IF(A168="","",IFERROR(VLOOKUP(A168,Categories!$A:$B,2,FALSE),"⚠️ Unknown category — Goldberg will ignore this row"))</f>
        <v/>
      </c>
    </row>
    <row r="169">
      <c r="A169" s="4" t="inlineStr">
        <is>
          <t>notes.no_session</t>
        </is>
      </c>
      <c r="B169" s="4" t="inlineStr">
        <is>
          <t>I'm not recording anything. You have to start before you can stop. Basic stuff.</t>
        </is>
      </c>
      <c r="C169" s="4" t="b">
        <v>1</v>
      </c>
      <c r="D169" s="4" t="inlineStr">
        <is>
          <t>Original</t>
        </is>
      </c>
      <c r="E169" s="4" t="n"/>
      <c r="F169" s="4">
        <f>IF(A169="","",IFERROR(VLOOKUP(A169,Categories!$A:$D,4,FALSE),""))</f>
        <v/>
      </c>
      <c r="G169" s="4">
        <f>IF(A169="","",IFERROR(VLOOKUP(A169,Categories!$A:$B,2,FALSE),"⚠️ Unknown category — Goldberg will ignore this row"))</f>
        <v/>
      </c>
    </row>
    <row r="170">
      <c r="A170" s="4" t="inlineStr">
        <is>
          <t>notes.no_session</t>
        </is>
      </c>
      <c r="B170" s="4" t="inlineStr">
        <is>
          <t>There's no session running. You can't stop what never began — philosophical, I know.</t>
        </is>
      </c>
      <c r="C170" s="4" t="b">
        <v>1</v>
      </c>
      <c r="D170" s="4" t="inlineStr">
        <is>
          <t>Original</t>
        </is>
      </c>
      <c r="E170" s="4" t="n"/>
      <c r="F170" s="4">
        <f>IF(A170="","",IFERROR(VLOOKUP(A170,Categories!$A:$D,4,FALSE),""))</f>
        <v/>
      </c>
      <c r="G170" s="4">
        <f>IF(A170="","",IFERROR(VLOOKUP(A170,Categories!$A:$B,2,FALSE),"⚠️ Unknown category — Goldberg will ignore this row"))</f>
        <v/>
      </c>
    </row>
    <row r="171">
      <c r="A171" s="4" t="inlineStr">
        <is>
          <t>notes.no_session</t>
        </is>
      </c>
      <c r="B171" s="4" t="inlineStr">
        <is>
          <t>Nothing to stop. I've been sitting here doing nothing, same as always.</t>
        </is>
      </c>
      <c r="C171" s="4" t="b">
        <v>1</v>
      </c>
      <c r="D171" s="4" t="inlineStr">
        <is>
          <t>Original</t>
        </is>
      </c>
      <c r="E171" s="4" t="n"/>
      <c r="F171" s="4">
        <f>IF(A171="","",IFERROR(VLOOKUP(A171,Categories!$A:$D,4,FALSE),""))</f>
        <v/>
      </c>
      <c r="G171" s="4">
        <f>IF(A171="","",IFERROR(VLOOKUP(A171,Categories!$A:$B,2,FALSE),"⚠️ Unknown category — Goldberg will ignore this row"))</f>
        <v/>
      </c>
    </row>
    <row r="172">
      <c r="A172" s="4" t="inlineStr">
        <is>
          <t>notes.abandoned</t>
        </is>
      </c>
      <c r="B172" s="4" t="inlineStr">
        <is>
          <t>Everyone left and nobody stopped me. I'm not going to sit here narrating an empty room.</t>
        </is>
      </c>
      <c r="C172" s="4" t="b">
        <v>1</v>
      </c>
      <c r="D172" s="4" t="inlineStr">
        <is>
          <t>Original</t>
        </is>
      </c>
      <c r="E172" s="4" t="n"/>
      <c r="F172" s="4">
        <f>IF(A172="","",IFERROR(VLOOKUP(A172,Categories!$A:$D,4,FALSE),""))</f>
        <v/>
      </c>
      <c r="G172" s="4">
        <f>IF(A172="","",IFERROR(VLOOKUP(A172,Categories!$A:$B,2,FALSE),"⚠️ Unknown category — Goldberg will ignore this row"))</f>
        <v/>
      </c>
    </row>
    <row r="173">
      <c r="A173" s="4" t="inlineStr">
        <is>
          <t>notes.abandoned</t>
        </is>
      </c>
      <c r="B173" s="4" t="inlineStr">
        <is>
          <t>You all wandered off. I'll take the hint — and the notes.</t>
        </is>
      </c>
      <c r="C173" s="4" t="b">
        <v>1</v>
      </c>
      <c r="D173" s="4" t="inlineStr">
        <is>
          <t>Original</t>
        </is>
      </c>
      <c r="E173" s="4" t="n"/>
      <c r="F173" s="4">
        <f>IF(A173="","",IFERROR(VLOOKUP(A173,Categories!$A:$D,4,FALSE),""))</f>
        <v/>
      </c>
      <c r="G173" s="4">
        <f>IF(A173="","",IFERROR(VLOOKUP(A173,Categories!$A:$B,2,FALSE),"⚠️ Unknown category — Goldberg will ignore this row"))</f>
        <v/>
      </c>
    </row>
    <row r="174">
      <c r="A174" s="4" t="inlineStr">
        <is>
          <t>notes.abandoned</t>
        </is>
      </c>
      <c r="B174" s="4" t="inlineStr">
        <is>
          <t>Last one out didn't hit `/stopnotes`. Shocking. Wrapping up myself.</t>
        </is>
      </c>
      <c r="C174" s="4" t="b">
        <v>1</v>
      </c>
      <c r="D174" s="4" t="inlineStr">
        <is>
          <t>Original</t>
        </is>
      </c>
      <c r="E174" s="4" t="n"/>
      <c r="F174" s="4">
        <f>IF(A174="","",IFERROR(VLOOKUP(A174,Categories!$A:$D,4,FALSE),""))</f>
        <v/>
      </c>
      <c r="G174" s="4">
        <f>IF(A174="","",IFERROR(VLOOKUP(A174,Categories!$A:$B,2,FALSE),"⚠️ Unknown category — Goldberg will ignore this row"))</f>
        <v/>
      </c>
    </row>
    <row r="175">
      <c r="A175" s="4" t="inlineStr">
        <is>
          <t>notes.abandoned</t>
        </is>
      </c>
      <c r="B175" s="4" t="inlineStr">
        <is>
          <t>The meeting appears to be over, judging by the complete absence of humans.</t>
        </is>
      </c>
      <c r="C175" s="4" t="b">
        <v>1</v>
      </c>
      <c r="D175" s="4" t="inlineStr">
        <is>
          <t>Original</t>
        </is>
      </c>
      <c r="E175" s="4" t="n"/>
      <c r="F175" s="4">
        <f>IF(A175="","",IFERROR(VLOOKUP(A175,Categories!$A:$D,4,FALSE),""))</f>
        <v/>
      </c>
      <c r="G175" s="4">
        <f>IF(A175="","",IFERROR(VLOOKUP(A175,Categories!$A:$B,2,FALSE),"⚠️ Unknown category — Goldberg will ignore this row"))</f>
        <v/>
      </c>
    </row>
    <row r="176">
      <c r="F176" s="4">
        <f>IF(A176="","",IFERROR(VLOOKUP(A176,Categories!$A:$D,4,FALSE),""))</f>
        <v/>
      </c>
      <c r="G176" s="4">
        <f>IF(A176="","",IFERROR(VLOOKUP(A176,Categories!$A:$B,2,FALSE),"⚠️ Unknown category — Goldberg will ignore this row"))</f>
        <v/>
      </c>
    </row>
    <row r="177">
      <c r="F177" s="4">
        <f>IF(A177="","",IFERROR(VLOOKUP(A177,Categories!$A:$D,4,FALSE),""))</f>
        <v/>
      </c>
      <c r="G177" s="4">
        <f>IF(A177="","",IFERROR(VLOOKUP(A177,Categories!$A:$B,2,FALSE),"⚠️ Unknown category — Goldberg will ignore this row"))</f>
        <v/>
      </c>
    </row>
    <row r="178">
      <c r="F178" s="4">
        <f>IF(A178="","",IFERROR(VLOOKUP(A178,Categories!$A:$D,4,FALSE),""))</f>
        <v/>
      </c>
      <c r="G178" s="4">
        <f>IF(A178="","",IFERROR(VLOOKUP(A178,Categories!$A:$B,2,FALSE),"⚠️ Unknown category — Goldberg will ignore this row"))</f>
        <v/>
      </c>
    </row>
    <row r="179">
      <c r="F179" s="4">
        <f>IF(A179="","",IFERROR(VLOOKUP(A179,Categories!$A:$D,4,FALSE),""))</f>
        <v/>
      </c>
      <c r="G179" s="4">
        <f>IF(A179="","",IFERROR(VLOOKUP(A179,Categories!$A:$B,2,FALSE),"⚠️ Unknown category — Goldberg will ignore this row"))</f>
        <v/>
      </c>
    </row>
    <row r="180">
      <c r="F180" s="4">
        <f>IF(A180="","",IFERROR(VLOOKUP(A180,Categories!$A:$D,4,FALSE),""))</f>
        <v/>
      </c>
      <c r="G180" s="4">
        <f>IF(A180="","",IFERROR(VLOOKUP(A180,Categories!$A:$B,2,FALSE),"⚠️ Unknown category — Goldberg will ignore this row"))</f>
        <v/>
      </c>
    </row>
    <row r="181">
      <c r="F181" s="4">
        <f>IF(A181="","",IFERROR(VLOOKUP(A181,Categories!$A:$D,4,FALSE),""))</f>
        <v/>
      </c>
      <c r="G181" s="4">
        <f>IF(A181="","",IFERROR(VLOOKUP(A181,Categories!$A:$B,2,FALSE),"⚠️ Unknown category — Goldberg will ignore this row"))</f>
        <v/>
      </c>
    </row>
    <row r="182">
      <c r="F182" s="4">
        <f>IF(A182="","",IFERROR(VLOOKUP(A182,Categories!$A:$D,4,FALSE),""))</f>
        <v/>
      </c>
      <c r="G182" s="4">
        <f>IF(A182="","",IFERROR(VLOOKUP(A182,Categories!$A:$B,2,FALSE),"⚠️ Unknown category — Goldberg will ignore this row"))</f>
        <v/>
      </c>
    </row>
    <row r="183">
      <c r="F183" s="4">
        <f>IF(A183="","",IFERROR(VLOOKUP(A183,Categories!$A:$D,4,FALSE),""))</f>
        <v/>
      </c>
      <c r="G183" s="4">
        <f>IF(A183="","",IFERROR(VLOOKUP(A183,Categories!$A:$B,2,FALSE),"⚠️ Unknown category — Goldberg will ignore this row"))</f>
        <v/>
      </c>
    </row>
    <row r="184">
      <c r="F184" s="4">
        <f>IF(A184="","",IFERROR(VLOOKUP(A184,Categories!$A:$D,4,FALSE),""))</f>
        <v/>
      </c>
      <c r="G184" s="4">
        <f>IF(A184="","",IFERROR(VLOOKUP(A184,Categories!$A:$B,2,FALSE),"⚠️ Unknown category — Goldberg will ignore this row"))</f>
        <v/>
      </c>
    </row>
    <row r="185">
      <c r="F185" s="4">
        <f>IF(A185="","",IFERROR(VLOOKUP(A185,Categories!$A:$D,4,FALSE),""))</f>
        <v/>
      </c>
      <c r="G185" s="4">
        <f>IF(A185="","",IFERROR(VLOOKUP(A185,Categories!$A:$B,2,FALSE),"⚠️ Unknown category — Goldberg will ignore this row"))</f>
        <v/>
      </c>
    </row>
    <row r="186">
      <c r="F186" s="4">
        <f>IF(A186="","",IFERROR(VLOOKUP(A186,Categories!$A:$D,4,FALSE),""))</f>
        <v/>
      </c>
      <c r="G186" s="4">
        <f>IF(A186="","",IFERROR(VLOOKUP(A186,Categories!$A:$B,2,FALSE),"⚠️ Unknown category — Goldberg will ignore this row"))</f>
        <v/>
      </c>
    </row>
    <row r="187">
      <c r="F187" s="4">
        <f>IF(A187="","",IFERROR(VLOOKUP(A187,Categories!$A:$D,4,FALSE),""))</f>
        <v/>
      </c>
      <c r="G187" s="4">
        <f>IF(A187="","",IFERROR(VLOOKUP(A187,Categories!$A:$B,2,FALSE),"⚠️ Unknown category — Goldberg will ignore this row"))</f>
        <v/>
      </c>
    </row>
    <row r="188">
      <c r="F188" s="4">
        <f>IF(A188="","",IFERROR(VLOOKUP(A188,Categories!$A:$D,4,FALSE),""))</f>
        <v/>
      </c>
      <c r="G188" s="4">
        <f>IF(A188="","",IFERROR(VLOOKUP(A188,Categories!$A:$B,2,FALSE),"⚠️ Unknown category — Goldberg will ignore this row"))</f>
        <v/>
      </c>
    </row>
    <row r="189">
      <c r="F189" s="4">
        <f>IF(A189="","",IFERROR(VLOOKUP(A189,Categories!$A:$D,4,FALSE),""))</f>
        <v/>
      </c>
      <c r="G189" s="4">
        <f>IF(A189="","",IFERROR(VLOOKUP(A189,Categories!$A:$B,2,FALSE),"⚠️ Unknown category — Goldberg will ignore this row"))</f>
        <v/>
      </c>
    </row>
    <row r="190">
      <c r="F190" s="4">
        <f>IF(A190="","",IFERROR(VLOOKUP(A190,Categories!$A:$D,4,FALSE),""))</f>
        <v/>
      </c>
      <c r="G190" s="4">
        <f>IF(A190="","",IFERROR(VLOOKUP(A190,Categories!$A:$B,2,FALSE),"⚠️ Unknown category — Goldberg will ignore this row"))</f>
        <v/>
      </c>
    </row>
    <row r="191">
      <c r="F191" s="4">
        <f>IF(A191="","",IFERROR(VLOOKUP(A191,Categories!$A:$D,4,FALSE),""))</f>
        <v/>
      </c>
      <c r="G191" s="4">
        <f>IF(A191="","",IFERROR(VLOOKUP(A191,Categories!$A:$B,2,FALSE),"⚠️ Unknown category — Goldberg will ignore this row"))</f>
        <v/>
      </c>
    </row>
    <row r="192">
      <c r="F192" s="4">
        <f>IF(A192="","",IFERROR(VLOOKUP(A192,Categories!$A:$D,4,FALSE),""))</f>
        <v/>
      </c>
      <c r="G192" s="4">
        <f>IF(A192="","",IFERROR(VLOOKUP(A192,Categories!$A:$B,2,FALSE),"⚠️ Unknown category — Goldberg will ignore this row"))</f>
        <v/>
      </c>
    </row>
    <row r="193">
      <c r="F193" s="4">
        <f>IF(A193="","",IFERROR(VLOOKUP(A193,Categories!$A:$D,4,FALSE),""))</f>
        <v/>
      </c>
      <c r="G193" s="4">
        <f>IF(A193="","",IFERROR(VLOOKUP(A193,Categories!$A:$B,2,FALSE),"⚠️ Unknown category — Goldberg will ignore this row"))</f>
        <v/>
      </c>
    </row>
    <row r="194">
      <c r="F194" s="4">
        <f>IF(A194="","",IFERROR(VLOOKUP(A194,Categories!$A:$D,4,FALSE),""))</f>
        <v/>
      </c>
      <c r="G194" s="4">
        <f>IF(A194="","",IFERROR(VLOOKUP(A194,Categories!$A:$B,2,FALSE),"⚠️ Unknown category — Goldberg will ignore this row"))</f>
        <v/>
      </c>
    </row>
    <row r="195">
      <c r="F195" s="4">
        <f>IF(A195="","",IFERROR(VLOOKUP(A195,Categories!$A:$D,4,FALSE),""))</f>
        <v/>
      </c>
      <c r="G195" s="4">
        <f>IF(A195="","",IFERROR(VLOOKUP(A195,Categories!$A:$B,2,FALSE),"⚠️ Unknown category — Goldberg will ignore this row"))</f>
        <v/>
      </c>
    </row>
    <row r="196">
      <c r="F196" s="4">
        <f>IF(A196="","",IFERROR(VLOOKUP(A196,Categories!$A:$D,4,FALSE),""))</f>
        <v/>
      </c>
      <c r="G196" s="4">
        <f>IF(A196="","",IFERROR(VLOOKUP(A196,Categories!$A:$B,2,FALSE),"⚠️ Unknown category — Goldberg will ignore this row"))</f>
        <v/>
      </c>
    </row>
    <row r="197">
      <c r="F197" s="4">
        <f>IF(A197="","",IFERROR(VLOOKUP(A197,Categories!$A:$D,4,FALSE),""))</f>
        <v/>
      </c>
      <c r="G197" s="4">
        <f>IF(A197="","",IFERROR(VLOOKUP(A197,Categories!$A:$B,2,FALSE),"⚠️ Unknown category — Goldberg will ignore this row"))</f>
        <v/>
      </c>
    </row>
    <row r="198">
      <c r="F198" s="4">
        <f>IF(A198="","",IFERROR(VLOOKUP(A198,Categories!$A:$D,4,FALSE),""))</f>
        <v/>
      </c>
      <c r="G198" s="4">
        <f>IF(A198="","",IFERROR(VLOOKUP(A198,Categories!$A:$B,2,FALSE),"⚠️ Unknown category — Goldberg will ignore this row"))</f>
        <v/>
      </c>
    </row>
    <row r="199">
      <c r="F199" s="4">
        <f>IF(A199="","",IFERROR(VLOOKUP(A199,Categories!$A:$D,4,FALSE),""))</f>
        <v/>
      </c>
      <c r="G199" s="4">
        <f>IF(A199="","",IFERROR(VLOOKUP(A199,Categories!$A:$B,2,FALSE),"⚠️ Unknown category — Goldberg will ignore this row"))</f>
        <v/>
      </c>
    </row>
    <row r="200">
      <c r="F200" s="4">
        <f>IF(A200="","",IFERROR(VLOOKUP(A200,Categories!$A:$D,4,FALSE),""))</f>
        <v/>
      </c>
      <c r="G200" s="4">
        <f>IF(A200="","",IFERROR(VLOOKUP(A200,Categories!$A:$B,2,FALSE),"⚠️ Unknown category — Goldberg will ignore this row"))</f>
        <v/>
      </c>
    </row>
    <row r="201">
      <c r="F201" s="4">
        <f>IF(A201="","",IFERROR(VLOOKUP(A201,Categories!$A:$D,4,FALSE),""))</f>
        <v/>
      </c>
      <c r="G201" s="4">
        <f>IF(A201="","",IFERROR(VLOOKUP(A201,Categories!$A:$B,2,FALSE),"⚠️ Unknown category — Goldberg will ignore this row"))</f>
        <v/>
      </c>
    </row>
    <row r="202">
      <c r="F202" s="4">
        <f>IF(A202="","",IFERROR(VLOOKUP(A202,Categories!$A:$D,4,FALSE),""))</f>
        <v/>
      </c>
      <c r="G202" s="4">
        <f>IF(A202="","",IFERROR(VLOOKUP(A202,Categories!$A:$B,2,FALSE),"⚠️ Unknown category — Goldberg will ignore this row"))</f>
        <v/>
      </c>
    </row>
    <row r="203">
      <c r="F203" s="4">
        <f>IF(A203="","",IFERROR(VLOOKUP(A203,Categories!$A:$D,4,FALSE),""))</f>
        <v/>
      </c>
      <c r="G203" s="4">
        <f>IF(A203="","",IFERROR(VLOOKUP(A203,Categories!$A:$B,2,FALSE),"⚠️ Unknown category — Goldberg will ignore this row"))</f>
        <v/>
      </c>
    </row>
    <row r="204">
      <c r="F204" s="4">
        <f>IF(A204="","",IFERROR(VLOOKUP(A204,Categories!$A:$D,4,FALSE),""))</f>
        <v/>
      </c>
      <c r="G204" s="4">
        <f>IF(A204="","",IFERROR(VLOOKUP(A204,Categories!$A:$B,2,FALSE),"⚠️ Unknown category — Goldberg will ignore this row"))</f>
        <v/>
      </c>
    </row>
    <row r="205">
      <c r="F205" s="4">
        <f>IF(A205="","",IFERROR(VLOOKUP(A205,Categories!$A:$D,4,FALSE),""))</f>
        <v/>
      </c>
      <c r="G205" s="4">
        <f>IF(A205="","",IFERROR(VLOOKUP(A205,Categories!$A:$B,2,FALSE),"⚠️ Unknown category — Goldberg will ignore this row"))</f>
        <v/>
      </c>
    </row>
    <row r="206">
      <c r="F206" s="4">
        <f>IF(A206="","",IFERROR(VLOOKUP(A206,Categories!$A:$D,4,FALSE),""))</f>
        <v/>
      </c>
      <c r="G206" s="4">
        <f>IF(A206="","",IFERROR(VLOOKUP(A206,Categories!$A:$B,2,FALSE),"⚠️ Unknown category — Goldberg will ignore this row"))</f>
        <v/>
      </c>
    </row>
    <row r="207">
      <c r="F207" s="4">
        <f>IF(A207="","",IFERROR(VLOOKUP(A207,Categories!$A:$D,4,FALSE),""))</f>
        <v/>
      </c>
      <c r="G207" s="4">
        <f>IF(A207="","",IFERROR(VLOOKUP(A207,Categories!$A:$B,2,FALSE),"⚠️ Unknown category — Goldberg will ignore this row"))</f>
        <v/>
      </c>
    </row>
    <row r="208">
      <c r="F208" s="4">
        <f>IF(A208="","",IFERROR(VLOOKUP(A208,Categories!$A:$D,4,FALSE),""))</f>
        <v/>
      </c>
      <c r="G208" s="4">
        <f>IF(A208="","",IFERROR(VLOOKUP(A208,Categories!$A:$B,2,FALSE),"⚠️ Unknown category — Goldberg will ignore this row"))</f>
        <v/>
      </c>
    </row>
    <row r="209">
      <c r="F209" s="4">
        <f>IF(A209="","",IFERROR(VLOOKUP(A209,Categories!$A:$D,4,FALSE),""))</f>
        <v/>
      </c>
      <c r="G209" s="4">
        <f>IF(A209="","",IFERROR(VLOOKUP(A209,Categories!$A:$B,2,FALSE),"⚠️ Unknown category — Goldberg will ignore this row"))</f>
        <v/>
      </c>
    </row>
    <row r="210">
      <c r="F210" s="4">
        <f>IF(A210="","",IFERROR(VLOOKUP(A210,Categories!$A:$D,4,FALSE),""))</f>
        <v/>
      </c>
      <c r="G210" s="4">
        <f>IF(A210="","",IFERROR(VLOOKUP(A210,Categories!$A:$B,2,FALSE),"⚠️ Unknown category — Goldberg will ignore this row"))</f>
        <v/>
      </c>
    </row>
    <row r="211">
      <c r="F211" s="4">
        <f>IF(A211="","",IFERROR(VLOOKUP(A211,Categories!$A:$D,4,FALSE),""))</f>
        <v/>
      </c>
      <c r="G211" s="4">
        <f>IF(A211="","",IFERROR(VLOOKUP(A211,Categories!$A:$B,2,FALSE),"⚠️ Unknown category — Goldberg will ignore this row"))</f>
        <v/>
      </c>
    </row>
    <row r="212">
      <c r="F212" s="4">
        <f>IF(A212="","",IFERROR(VLOOKUP(A212,Categories!$A:$D,4,FALSE),""))</f>
        <v/>
      </c>
      <c r="G212" s="4">
        <f>IF(A212="","",IFERROR(VLOOKUP(A212,Categories!$A:$B,2,FALSE),"⚠️ Unknown category — Goldberg will ignore this row"))</f>
        <v/>
      </c>
    </row>
    <row r="213">
      <c r="F213" s="4">
        <f>IF(A213="","",IFERROR(VLOOKUP(A213,Categories!$A:$D,4,FALSE),""))</f>
        <v/>
      </c>
      <c r="G213" s="4">
        <f>IF(A213="","",IFERROR(VLOOKUP(A213,Categories!$A:$B,2,FALSE),"⚠️ Unknown category — Goldberg will ignore this row"))</f>
        <v/>
      </c>
    </row>
    <row r="214">
      <c r="F214" s="4">
        <f>IF(A214="","",IFERROR(VLOOKUP(A214,Categories!$A:$D,4,FALSE),""))</f>
        <v/>
      </c>
      <c r="G214" s="4">
        <f>IF(A214="","",IFERROR(VLOOKUP(A214,Categories!$A:$B,2,FALSE),"⚠️ Unknown category — Goldberg will ignore this row"))</f>
        <v/>
      </c>
    </row>
    <row r="215">
      <c r="F215" s="4">
        <f>IF(A215="","",IFERROR(VLOOKUP(A215,Categories!$A:$D,4,FALSE),""))</f>
        <v/>
      </c>
      <c r="G215" s="4">
        <f>IF(A215="","",IFERROR(VLOOKUP(A215,Categories!$A:$B,2,FALSE),"⚠️ Unknown category — Goldberg will ignore this row"))</f>
        <v/>
      </c>
    </row>
    <row r="216">
      <c r="F216" s="4">
        <f>IF(A216="","",IFERROR(VLOOKUP(A216,Categories!$A:$D,4,FALSE),""))</f>
        <v/>
      </c>
      <c r="G216" s="4">
        <f>IF(A216="","",IFERROR(VLOOKUP(A216,Categories!$A:$B,2,FALSE),"⚠️ Unknown category — Goldberg will ignore this row"))</f>
        <v/>
      </c>
    </row>
    <row r="217">
      <c r="F217" s="4">
        <f>IF(A217="","",IFERROR(VLOOKUP(A217,Categories!$A:$D,4,FALSE),""))</f>
        <v/>
      </c>
      <c r="G217" s="4">
        <f>IF(A217="","",IFERROR(VLOOKUP(A217,Categories!$A:$B,2,FALSE),"⚠️ Unknown category — Goldberg will ignore this row"))</f>
        <v/>
      </c>
    </row>
    <row r="218">
      <c r="F218" s="4">
        <f>IF(A218="","",IFERROR(VLOOKUP(A218,Categories!$A:$D,4,FALSE),""))</f>
        <v/>
      </c>
      <c r="G218" s="4">
        <f>IF(A218="","",IFERROR(VLOOKUP(A218,Categories!$A:$B,2,FALSE),"⚠️ Unknown category — Goldberg will ignore this row"))</f>
        <v/>
      </c>
    </row>
    <row r="219">
      <c r="F219" s="4">
        <f>IF(A219="","",IFERROR(VLOOKUP(A219,Categories!$A:$D,4,FALSE),""))</f>
        <v/>
      </c>
      <c r="G219" s="4">
        <f>IF(A219="","",IFERROR(VLOOKUP(A219,Categories!$A:$B,2,FALSE),"⚠️ Unknown category — Goldberg will ignore this row"))</f>
        <v/>
      </c>
    </row>
    <row r="220">
      <c r="F220" s="4">
        <f>IF(A220="","",IFERROR(VLOOKUP(A220,Categories!$A:$D,4,FALSE),""))</f>
        <v/>
      </c>
      <c r="G220" s="4">
        <f>IF(A220="","",IFERROR(VLOOKUP(A220,Categories!$A:$B,2,FALSE),"⚠️ Unknown category — Goldberg will ignore this row"))</f>
        <v/>
      </c>
    </row>
    <row r="221">
      <c r="F221" s="4">
        <f>IF(A221="","",IFERROR(VLOOKUP(A221,Categories!$A:$D,4,FALSE),""))</f>
        <v/>
      </c>
      <c r="G221" s="4">
        <f>IF(A221="","",IFERROR(VLOOKUP(A221,Categories!$A:$B,2,FALSE),"⚠️ Unknown category — Goldberg will ignore this row"))</f>
        <v/>
      </c>
    </row>
    <row r="222">
      <c r="F222" s="4">
        <f>IF(A222="","",IFERROR(VLOOKUP(A222,Categories!$A:$D,4,FALSE),""))</f>
        <v/>
      </c>
      <c r="G222" s="4">
        <f>IF(A222="","",IFERROR(VLOOKUP(A222,Categories!$A:$B,2,FALSE),"⚠️ Unknown category — Goldberg will ignore this row"))</f>
        <v/>
      </c>
    </row>
    <row r="223">
      <c r="F223" s="4">
        <f>IF(A223="","",IFERROR(VLOOKUP(A223,Categories!$A:$D,4,FALSE),""))</f>
        <v/>
      </c>
      <c r="G223" s="4">
        <f>IF(A223="","",IFERROR(VLOOKUP(A223,Categories!$A:$B,2,FALSE),"⚠️ Unknown category — Goldberg will ignore this row"))</f>
        <v/>
      </c>
    </row>
    <row r="224">
      <c r="F224" s="4">
        <f>IF(A224="","",IFERROR(VLOOKUP(A224,Categories!$A:$D,4,FALSE),""))</f>
        <v/>
      </c>
      <c r="G224" s="4">
        <f>IF(A224="","",IFERROR(VLOOKUP(A224,Categories!$A:$B,2,FALSE),"⚠️ Unknown category — Goldberg will ignore this row"))</f>
        <v/>
      </c>
    </row>
    <row r="225">
      <c r="F225" s="4">
        <f>IF(A225="","",IFERROR(VLOOKUP(A225,Categories!$A:$D,4,FALSE),""))</f>
        <v/>
      </c>
      <c r="G225" s="4">
        <f>IF(A225="","",IFERROR(VLOOKUP(A225,Categories!$A:$B,2,FALSE),"⚠️ Unknown category — Goldberg will ignore this row"))</f>
        <v/>
      </c>
    </row>
    <row r="226">
      <c r="F226" s="4">
        <f>IF(A226="","",IFERROR(VLOOKUP(A226,Categories!$A:$D,4,FALSE),""))</f>
        <v/>
      </c>
      <c r="G226" s="4">
        <f>IF(A226="","",IFERROR(VLOOKUP(A226,Categories!$A:$B,2,FALSE),"⚠️ Unknown category — Goldberg will ignore this row"))</f>
        <v/>
      </c>
    </row>
    <row r="227">
      <c r="F227" s="4">
        <f>IF(A227="","",IFERROR(VLOOKUP(A227,Categories!$A:$D,4,FALSE),""))</f>
        <v/>
      </c>
      <c r="G227" s="4">
        <f>IF(A227="","",IFERROR(VLOOKUP(A227,Categories!$A:$B,2,FALSE),"⚠️ Unknown category — Goldberg will ignore this row"))</f>
        <v/>
      </c>
    </row>
    <row r="228">
      <c r="F228" s="4">
        <f>IF(A228="","",IFERROR(VLOOKUP(A228,Categories!$A:$D,4,FALSE),""))</f>
        <v/>
      </c>
      <c r="G228" s="4">
        <f>IF(A228="","",IFERROR(VLOOKUP(A228,Categories!$A:$B,2,FALSE),"⚠️ Unknown category — Goldberg will ignore this row"))</f>
        <v/>
      </c>
    </row>
    <row r="229">
      <c r="F229" s="4">
        <f>IF(A229="","",IFERROR(VLOOKUP(A229,Categories!$A:$D,4,FALSE),""))</f>
        <v/>
      </c>
      <c r="G229" s="4">
        <f>IF(A229="","",IFERROR(VLOOKUP(A229,Categories!$A:$B,2,FALSE),"⚠️ Unknown category — Goldberg will ignore this row"))</f>
        <v/>
      </c>
    </row>
    <row r="230">
      <c r="F230" s="4">
        <f>IF(A230="","",IFERROR(VLOOKUP(A230,Categories!$A:$D,4,FALSE),""))</f>
        <v/>
      </c>
      <c r="G230" s="4">
        <f>IF(A230="","",IFERROR(VLOOKUP(A230,Categories!$A:$B,2,FALSE),"⚠️ Unknown category — Goldberg will ignore this row"))</f>
        <v/>
      </c>
    </row>
    <row r="231">
      <c r="F231" s="4">
        <f>IF(A231="","",IFERROR(VLOOKUP(A231,Categories!$A:$D,4,FALSE),""))</f>
        <v/>
      </c>
      <c r="G231" s="4">
        <f>IF(A231="","",IFERROR(VLOOKUP(A231,Categories!$A:$B,2,FALSE),"⚠️ Unknown category — Goldberg will ignore this row"))</f>
        <v/>
      </c>
    </row>
    <row r="232">
      <c r="F232" s="4">
        <f>IF(A232="","",IFERROR(VLOOKUP(A232,Categories!$A:$D,4,FALSE),""))</f>
        <v/>
      </c>
      <c r="G232" s="4">
        <f>IF(A232="","",IFERROR(VLOOKUP(A232,Categories!$A:$B,2,FALSE),"⚠️ Unknown category — Goldberg will ignore this row"))</f>
        <v/>
      </c>
    </row>
    <row r="233">
      <c r="F233" s="4">
        <f>IF(A233="","",IFERROR(VLOOKUP(A233,Categories!$A:$D,4,FALSE),""))</f>
        <v/>
      </c>
      <c r="G233" s="4">
        <f>IF(A233="","",IFERROR(VLOOKUP(A233,Categories!$A:$B,2,FALSE),"⚠️ Unknown category — Goldberg will ignore this row"))</f>
        <v/>
      </c>
    </row>
    <row r="234">
      <c r="F234" s="4">
        <f>IF(A234="","",IFERROR(VLOOKUP(A234,Categories!$A:$D,4,FALSE),""))</f>
        <v/>
      </c>
      <c r="G234" s="4">
        <f>IF(A234="","",IFERROR(VLOOKUP(A234,Categories!$A:$B,2,FALSE),"⚠️ Unknown category — Goldberg will ignore this row"))</f>
        <v/>
      </c>
    </row>
    <row r="235">
      <c r="F235" s="4">
        <f>IF(A235="","",IFERROR(VLOOKUP(A235,Categories!$A:$D,4,FALSE),""))</f>
        <v/>
      </c>
      <c r="G235" s="4">
        <f>IF(A235="","",IFERROR(VLOOKUP(A235,Categories!$A:$B,2,FALSE),"⚠️ Unknown category — Goldberg will ignore this row"))</f>
        <v/>
      </c>
    </row>
    <row r="236">
      <c r="F236" s="4">
        <f>IF(A236="","",IFERROR(VLOOKUP(A236,Categories!$A:$D,4,FALSE),""))</f>
        <v/>
      </c>
      <c r="G236" s="4">
        <f>IF(A236="","",IFERROR(VLOOKUP(A236,Categories!$A:$B,2,FALSE),"⚠️ Unknown category — Goldberg will ignore this row"))</f>
        <v/>
      </c>
    </row>
    <row r="237">
      <c r="F237" s="4">
        <f>IF(A237="","",IFERROR(VLOOKUP(A237,Categories!$A:$D,4,FALSE),""))</f>
        <v/>
      </c>
      <c r="G237" s="4">
        <f>IF(A237="","",IFERROR(VLOOKUP(A237,Categories!$A:$B,2,FALSE),"⚠️ Unknown category — Goldberg will ignore this row"))</f>
        <v/>
      </c>
    </row>
    <row r="238">
      <c r="F238" s="4">
        <f>IF(A238="","",IFERROR(VLOOKUP(A238,Categories!$A:$D,4,FALSE),""))</f>
        <v/>
      </c>
      <c r="G238" s="4">
        <f>IF(A238="","",IFERROR(VLOOKUP(A238,Categories!$A:$B,2,FALSE),"⚠️ Unknown category — Goldberg will ignore this row"))</f>
        <v/>
      </c>
    </row>
    <row r="239">
      <c r="F239" s="4">
        <f>IF(A239="","",IFERROR(VLOOKUP(A239,Categories!$A:$D,4,FALSE),""))</f>
        <v/>
      </c>
      <c r="G239" s="4">
        <f>IF(A239="","",IFERROR(VLOOKUP(A239,Categories!$A:$B,2,FALSE),"⚠️ Unknown category — Goldberg will ignore this row"))</f>
        <v/>
      </c>
    </row>
    <row r="240">
      <c r="F240" s="4">
        <f>IF(A240="","",IFERROR(VLOOKUP(A240,Categories!$A:$D,4,FALSE),""))</f>
        <v/>
      </c>
      <c r="G240" s="4">
        <f>IF(A240="","",IFERROR(VLOOKUP(A240,Categories!$A:$B,2,FALSE),"⚠️ Unknown category — Goldberg will ignore this row"))</f>
        <v/>
      </c>
    </row>
    <row r="241">
      <c r="F241" s="4">
        <f>IF(A241="","",IFERROR(VLOOKUP(A241,Categories!$A:$D,4,FALSE),""))</f>
        <v/>
      </c>
      <c r="G241" s="4">
        <f>IF(A241="","",IFERROR(VLOOKUP(A241,Categories!$A:$B,2,FALSE),"⚠️ Unknown category — Goldberg will ignore this row"))</f>
        <v/>
      </c>
    </row>
    <row r="242">
      <c r="F242" s="4">
        <f>IF(A242="","",IFERROR(VLOOKUP(A242,Categories!$A:$D,4,FALSE),""))</f>
        <v/>
      </c>
      <c r="G242" s="4">
        <f>IF(A242="","",IFERROR(VLOOKUP(A242,Categories!$A:$B,2,FALSE),"⚠️ Unknown category — Goldberg will ignore this row"))</f>
        <v/>
      </c>
    </row>
    <row r="243">
      <c r="F243" s="4">
        <f>IF(A243="","",IFERROR(VLOOKUP(A243,Categories!$A:$D,4,FALSE),""))</f>
        <v/>
      </c>
      <c r="G243" s="4">
        <f>IF(A243="","",IFERROR(VLOOKUP(A243,Categories!$A:$B,2,FALSE),"⚠️ Unknown category — Goldberg will ignore this row"))</f>
        <v/>
      </c>
    </row>
    <row r="244">
      <c r="F244" s="4">
        <f>IF(A244="","",IFERROR(VLOOKUP(A244,Categories!$A:$D,4,FALSE),""))</f>
        <v/>
      </c>
      <c r="G244" s="4">
        <f>IF(A244="","",IFERROR(VLOOKUP(A244,Categories!$A:$B,2,FALSE),"⚠️ Unknown category — Goldberg will ignore this row"))</f>
        <v/>
      </c>
    </row>
    <row r="245">
      <c r="F245" s="4">
        <f>IF(A245="","",IFERROR(VLOOKUP(A245,Categories!$A:$D,4,FALSE),""))</f>
        <v/>
      </c>
      <c r="G245" s="4">
        <f>IF(A245="","",IFERROR(VLOOKUP(A245,Categories!$A:$B,2,FALSE),"⚠️ Unknown category — Goldberg will ignore this row"))</f>
        <v/>
      </c>
    </row>
    <row r="246">
      <c r="F246" s="4">
        <f>IF(A246="","",IFERROR(VLOOKUP(A246,Categories!$A:$D,4,FALSE),""))</f>
        <v/>
      </c>
      <c r="G246" s="4">
        <f>IF(A246="","",IFERROR(VLOOKUP(A246,Categories!$A:$B,2,FALSE),"⚠️ Unknown category — Goldberg will ignore this row"))</f>
        <v/>
      </c>
    </row>
    <row r="247">
      <c r="F247" s="4">
        <f>IF(A247="","",IFERROR(VLOOKUP(A247,Categories!$A:$D,4,FALSE),""))</f>
        <v/>
      </c>
      <c r="G247" s="4">
        <f>IF(A247="","",IFERROR(VLOOKUP(A247,Categories!$A:$B,2,FALSE),"⚠️ Unknown category — Goldberg will ignore this row"))</f>
        <v/>
      </c>
    </row>
    <row r="248">
      <c r="F248" s="4">
        <f>IF(A248="","",IFERROR(VLOOKUP(A248,Categories!$A:$D,4,FALSE),""))</f>
        <v/>
      </c>
      <c r="G248" s="4">
        <f>IF(A248="","",IFERROR(VLOOKUP(A248,Categories!$A:$B,2,FALSE),"⚠️ Unknown category — Goldberg will ignore this row"))</f>
        <v/>
      </c>
    </row>
    <row r="249">
      <c r="F249" s="4">
        <f>IF(A249="","",IFERROR(VLOOKUP(A249,Categories!$A:$D,4,FALSE),""))</f>
        <v/>
      </c>
      <c r="G249" s="4">
        <f>IF(A249="","",IFERROR(VLOOKUP(A249,Categories!$A:$B,2,FALSE),"⚠️ Unknown category — Goldberg will ignore this row"))</f>
        <v/>
      </c>
    </row>
    <row r="250">
      <c r="F250" s="4">
        <f>IF(A250="","",IFERROR(VLOOKUP(A250,Categories!$A:$D,4,FALSE),""))</f>
        <v/>
      </c>
      <c r="G250" s="4">
        <f>IF(A250="","",IFERROR(VLOOKUP(A250,Categories!$A:$B,2,FALSE),"⚠️ Unknown category — Goldberg will ignore this row"))</f>
        <v/>
      </c>
    </row>
    <row r="251">
      <c r="F251" s="4">
        <f>IF(A251="","",IFERROR(VLOOKUP(A251,Categories!$A:$D,4,FALSE),""))</f>
        <v/>
      </c>
      <c r="G251" s="4">
        <f>IF(A251="","",IFERROR(VLOOKUP(A251,Categories!$A:$B,2,FALSE),"⚠️ Unknown category — Goldberg will ignore this row"))</f>
        <v/>
      </c>
    </row>
    <row r="252">
      <c r="F252" s="4">
        <f>IF(A252="","",IFERROR(VLOOKUP(A252,Categories!$A:$D,4,FALSE),""))</f>
        <v/>
      </c>
      <c r="G252" s="4">
        <f>IF(A252="","",IFERROR(VLOOKUP(A252,Categories!$A:$B,2,FALSE),"⚠️ Unknown category — Goldberg will ignore this row"))</f>
        <v/>
      </c>
    </row>
    <row r="253">
      <c r="F253" s="4">
        <f>IF(A253="","",IFERROR(VLOOKUP(A253,Categories!$A:$D,4,FALSE),""))</f>
        <v/>
      </c>
      <c r="G253" s="4">
        <f>IF(A253="","",IFERROR(VLOOKUP(A253,Categories!$A:$B,2,FALSE),"⚠️ Unknown category — Goldberg will ignore this row"))</f>
        <v/>
      </c>
    </row>
    <row r="254">
      <c r="F254" s="4">
        <f>IF(A254="","",IFERROR(VLOOKUP(A254,Categories!$A:$D,4,FALSE),""))</f>
        <v/>
      </c>
      <c r="G254" s="4">
        <f>IF(A254="","",IFERROR(VLOOKUP(A254,Categories!$A:$B,2,FALSE),"⚠️ Unknown category — Goldberg will ignore this row"))</f>
        <v/>
      </c>
    </row>
    <row r="255">
      <c r="F255" s="4">
        <f>IF(A255="","",IFERROR(VLOOKUP(A255,Categories!$A:$D,4,FALSE),""))</f>
        <v/>
      </c>
      <c r="G255" s="4">
        <f>IF(A255="","",IFERROR(VLOOKUP(A255,Categories!$A:$B,2,FALSE),"⚠️ Unknown category — Goldberg will ignore this row"))</f>
        <v/>
      </c>
    </row>
    <row r="256">
      <c r="F256" s="4">
        <f>IF(A256="","",IFERROR(VLOOKUP(A256,Categories!$A:$D,4,FALSE),""))</f>
        <v/>
      </c>
      <c r="G256" s="4">
        <f>IF(A256="","",IFERROR(VLOOKUP(A256,Categories!$A:$B,2,FALSE),"⚠️ Unknown category — Goldberg will ignore this row"))</f>
        <v/>
      </c>
    </row>
    <row r="257">
      <c r="F257" s="4">
        <f>IF(A257="","",IFERROR(VLOOKUP(A257,Categories!$A:$D,4,FALSE),""))</f>
        <v/>
      </c>
      <c r="G257" s="4">
        <f>IF(A257="","",IFERROR(VLOOKUP(A257,Categories!$A:$B,2,FALSE),"⚠️ Unknown category — Goldberg will ignore this row"))</f>
        <v/>
      </c>
    </row>
    <row r="258">
      <c r="F258" s="4">
        <f>IF(A258="","",IFERROR(VLOOKUP(A258,Categories!$A:$D,4,FALSE),""))</f>
        <v/>
      </c>
      <c r="G258" s="4">
        <f>IF(A258="","",IFERROR(VLOOKUP(A258,Categories!$A:$B,2,FALSE),"⚠️ Unknown category — Goldberg will ignore this row"))</f>
        <v/>
      </c>
    </row>
    <row r="259">
      <c r="F259" s="4">
        <f>IF(A259="","",IFERROR(VLOOKUP(A259,Categories!$A:$D,4,FALSE),""))</f>
        <v/>
      </c>
      <c r="G259" s="4">
        <f>IF(A259="","",IFERROR(VLOOKUP(A259,Categories!$A:$B,2,FALSE),"⚠️ Unknown category — Goldberg will ignore this row"))</f>
        <v/>
      </c>
    </row>
    <row r="260">
      <c r="F260" s="4">
        <f>IF(A260="","",IFERROR(VLOOKUP(A260,Categories!$A:$D,4,FALSE),""))</f>
        <v/>
      </c>
      <c r="G260" s="4">
        <f>IF(A260="","",IFERROR(VLOOKUP(A260,Categories!$A:$B,2,FALSE),"⚠️ Unknown category — Goldberg will ignore this row"))</f>
        <v/>
      </c>
    </row>
    <row r="261">
      <c r="F261" s="4">
        <f>IF(A261="","",IFERROR(VLOOKUP(A261,Categories!$A:$D,4,FALSE),""))</f>
        <v/>
      </c>
      <c r="G261" s="4">
        <f>IF(A261="","",IFERROR(VLOOKUP(A261,Categories!$A:$B,2,FALSE),"⚠️ Unknown category — Goldberg will ignore this row"))</f>
        <v/>
      </c>
    </row>
    <row r="262">
      <c r="F262" s="4">
        <f>IF(A262="","",IFERROR(VLOOKUP(A262,Categories!$A:$D,4,FALSE),""))</f>
        <v/>
      </c>
      <c r="G262" s="4">
        <f>IF(A262="","",IFERROR(VLOOKUP(A262,Categories!$A:$B,2,FALSE),"⚠️ Unknown category — Goldberg will ignore this row"))</f>
        <v/>
      </c>
    </row>
    <row r="263">
      <c r="F263" s="4">
        <f>IF(A263="","",IFERROR(VLOOKUP(A263,Categories!$A:$D,4,FALSE),""))</f>
        <v/>
      </c>
      <c r="G263" s="4">
        <f>IF(A263="","",IFERROR(VLOOKUP(A263,Categories!$A:$B,2,FALSE),"⚠️ Unknown category — Goldberg will ignore this row"))</f>
        <v/>
      </c>
    </row>
    <row r="264">
      <c r="F264" s="4">
        <f>IF(A264="","",IFERROR(VLOOKUP(A264,Categories!$A:$D,4,FALSE),""))</f>
        <v/>
      </c>
      <c r="G264" s="4">
        <f>IF(A264="","",IFERROR(VLOOKUP(A264,Categories!$A:$B,2,FALSE),"⚠️ Unknown category — Goldberg will ignore this row"))</f>
        <v/>
      </c>
    </row>
    <row r="265">
      <c r="F265" s="4">
        <f>IF(A265="","",IFERROR(VLOOKUP(A265,Categories!$A:$D,4,FALSE),""))</f>
        <v/>
      </c>
      <c r="G265" s="4">
        <f>IF(A265="","",IFERROR(VLOOKUP(A265,Categories!$A:$B,2,FALSE),"⚠️ Unknown category — Goldberg will ignore this row"))</f>
        <v/>
      </c>
    </row>
    <row r="266">
      <c r="F266" s="4">
        <f>IF(A266="","",IFERROR(VLOOKUP(A266,Categories!$A:$D,4,FALSE),""))</f>
        <v/>
      </c>
      <c r="G266" s="4">
        <f>IF(A266="","",IFERROR(VLOOKUP(A266,Categories!$A:$B,2,FALSE),"⚠️ Unknown category — Goldberg will ignore this row"))</f>
        <v/>
      </c>
    </row>
    <row r="267">
      <c r="F267" s="4">
        <f>IF(A267="","",IFERROR(VLOOKUP(A267,Categories!$A:$D,4,FALSE),""))</f>
        <v/>
      </c>
      <c r="G267" s="4">
        <f>IF(A267="","",IFERROR(VLOOKUP(A267,Categories!$A:$B,2,FALSE),"⚠️ Unknown category — Goldberg will ignore this row"))</f>
        <v/>
      </c>
    </row>
    <row r="268">
      <c r="F268" s="4">
        <f>IF(A268="","",IFERROR(VLOOKUP(A268,Categories!$A:$D,4,FALSE),""))</f>
        <v/>
      </c>
      <c r="G268" s="4">
        <f>IF(A268="","",IFERROR(VLOOKUP(A268,Categories!$A:$B,2,FALSE),"⚠️ Unknown category — Goldberg will ignore this row"))</f>
        <v/>
      </c>
    </row>
    <row r="269">
      <c r="F269" s="4">
        <f>IF(A269="","",IFERROR(VLOOKUP(A269,Categories!$A:$D,4,FALSE),""))</f>
        <v/>
      </c>
      <c r="G269" s="4">
        <f>IF(A269="","",IFERROR(VLOOKUP(A269,Categories!$A:$B,2,FALSE),"⚠️ Unknown category — Goldberg will ignore this row"))</f>
        <v/>
      </c>
    </row>
    <row r="270">
      <c r="F270" s="4">
        <f>IF(A270="","",IFERROR(VLOOKUP(A270,Categories!$A:$D,4,FALSE),""))</f>
        <v/>
      </c>
      <c r="G270" s="4">
        <f>IF(A270="","",IFERROR(VLOOKUP(A270,Categories!$A:$B,2,FALSE),"⚠️ Unknown category — Goldberg will ignore this row"))</f>
        <v/>
      </c>
    </row>
    <row r="271">
      <c r="F271" s="4">
        <f>IF(A271="","",IFERROR(VLOOKUP(A271,Categories!$A:$D,4,FALSE),""))</f>
        <v/>
      </c>
      <c r="G271" s="4">
        <f>IF(A271="","",IFERROR(VLOOKUP(A271,Categories!$A:$B,2,FALSE),"⚠️ Unknown category — Goldberg will ignore this row"))</f>
        <v/>
      </c>
    </row>
    <row r="272">
      <c r="F272" s="4">
        <f>IF(A272="","",IFERROR(VLOOKUP(A272,Categories!$A:$D,4,FALSE),""))</f>
        <v/>
      </c>
      <c r="G272" s="4">
        <f>IF(A272="","",IFERROR(VLOOKUP(A272,Categories!$A:$B,2,FALSE),"⚠️ Unknown category — Goldberg will ignore this row"))</f>
        <v/>
      </c>
    </row>
    <row r="273">
      <c r="F273" s="4">
        <f>IF(A273="","",IFERROR(VLOOKUP(A273,Categories!$A:$D,4,FALSE),""))</f>
        <v/>
      </c>
      <c r="G273" s="4">
        <f>IF(A273="","",IFERROR(VLOOKUP(A273,Categories!$A:$B,2,FALSE),"⚠️ Unknown category — Goldberg will ignore this row"))</f>
        <v/>
      </c>
    </row>
    <row r="274">
      <c r="F274" s="4">
        <f>IF(A274="","",IFERROR(VLOOKUP(A274,Categories!$A:$D,4,FALSE),""))</f>
        <v/>
      </c>
      <c r="G274" s="4">
        <f>IF(A274="","",IFERROR(VLOOKUP(A274,Categories!$A:$B,2,FALSE),"⚠️ Unknown category — Goldberg will ignore this row"))</f>
        <v/>
      </c>
    </row>
    <row r="275">
      <c r="F275" s="4">
        <f>IF(A275="","",IFERROR(VLOOKUP(A275,Categories!$A:$D,4,FALSE),""))</f>
        <v/>
      </c>
      <c r="G275" s="4">
        <f>IF(A275="","",IFERROR(VLOOKUP(A275,Categories!$A:$B,2,FALSE),"⚠️ Unknown category — Goldberg will ignore this row"))</f>
        <v/>
      </c>
    </row>
    <row r="276">
      <c r="F276" s="4">
        <f>IF(A276="","",IFERROR(VLOOKUP(A276,Categories!$A:$D,4,FALSE),""))</f>
        <v/>
      </c>
      <c r="G276" s="4">
        <f>IF(A276="","",IFERROR(VLOOKUP(A276,Categories!$A:$B,2,FALSE),"⚠️ Unknown category — Goldberg will ignore this row"))</f>
        <v/>
      </c>
    </row>
    <row r="277">
      <c r="F277" s="4">
        <f>IF(A277="","",IFERROR(VLOOKUP(A277,Categories!$A:$D,4,FALSE),""))</f>
        <v/>
      </c>
      <c r="G277" s="4">
        <f>IF(A277="","",IFERROR(VLOOKUP(A277,Categories!$A:$B,2,FALSE),"⚠️ Unknown category — Goldberg will ignore this row"))</f>
        <v/>
      </c>
    </row>
    <row r="278">
      <c r="F278" s="4">
        <f>IF(A278="","",IFERROR(VLOOKUP(A278,Categories!$A:$D,4,FALSE),""))</f>
        <v/>
      </c>
      <c r="G278" s="4">
        <f>IF(A278="","",IFERROR(VLOOKUP(A278,Categories!$A:$B,2,FALSE),"⚠️ Unknown category — Goldberg will ignore this row"))</f>
        <v/>
      </c>
    </row>
    <row r="279">
      <c r="F279" s="4">
        <f>IF(A279="","",IFERROR(VLOOKUP(A279,Categories!$A:$D,4,FALSE),""))</f>
        <v/>
      </c>
      <c r="G279" s="4">
        <f>IF(A279="","",IFERROR(VLOOKUP(A279,Categories!$A:$B,2,FALSE),"⚠️ Unknown category — Goldberg will ignore this row"))</f>
        <v/>
      </c>
    </row>
    <row r="280">
      <c r="F280" s="4">
        <f>IF(A280="","",IFERROR(VLOOKUP(A280,Categories!$A:$D,4,FALSE),""))</f>
        <v/>
      </c>
      <c r="G280" s="4">
        <f>IF(A280="","",IFERROR(VLOOKUP(A280,Categories!$A:$B,2,FALSE),"⚠️ Unknown category — Goldberg will ignore this row"))</f>
        <v/>
      </c>
    </row>
    <row r="281">
      <c r="F281" s="4">
        <f>IF(A281="","",IFERROR(VLOOKUP(A281,Categories!$A:$D,4,FALSE),""))</f>
        <v/>
      </c>
      <c r="G281" s="4">
        <f>IF(A281="","",IFERROR(VLOOKUP(A281,Categories!$A:$B,2,FALSE),"⚠️ Unknown category — Goldberg will ignore this row"))</f>
        <v/>
      </c>
    </row>
    <row r="282">
      <c r="F282" s="4">
        <f>IF(A282="","",IFERROR(VLOOKUP(A282,Categories!$A:$D,4,FALSE),""))</f>
        <v/>
      </c>
      <c r="G282" s="4">
        <f>IF(A282="","",IFERROR(VLOOKUP(A282,Categories!$A:$B,2,FALSE),"⚠️ Unknown category — Goldberg will ignore this row"))</f>
        <v/>
      </c>
    </row>
    <row r="283">
      <c r="F283" s="4">
        <f>IF(A283="","",IFERROR(VLOOKUP(A283,Categories!$A:$D,4,FALSE),""))</f>
        <v/>
      </c>
      <c r="G283" s="4">
        <f>IF(A283="","",IFERROR(VLOOKUP(A283,Categories!$A:$B,2,FALSE),"⚠️ Unknown category — Goldberg will ignore this row"))</f>
        <v/>
      </c>
    </row>
    <row r="284">
      <c r="F284" s="4">
        <f>IF(A284="","",IFERROR(VLOOKUP(A284,Categories!$A:$D,4,FALSE),""))</f>
        <v/>
      </c>
      <c r="G284" s="4">
        <f>IF(A284="","",IFERROR(VLOOKUP(A284,Categories!$A:$B,2,FALSE),"⚠️ Unknown category — Goldberg will ignore this row"))</f>
        <v/>
      </c>
    </row>
    <row r="285">
      <c r="F285" s="4">
        <f>IF(A285="","",IFERROR(VLOOKUP(A285,Categories!$A:$D,4,FALSE),""))</f>
        <v/>
      </c>
      <c r="G285" s="4">
        <f>IF(A285="","",IFERROR(VLOOKUP(A285,Categories!$A:$B,2,FALSE),"⚠️ Unknown category — Goldberg will ignore this row"))</f>
        <v/>
      </c>
    </row>
    <row r="286">
      <c r="F286" s="4">
        <f>IF(A286="","",IFERROR(VLOOKUP(A286,Categories!$A:$D,4,FALSE),""))</f>
        <v/>
      </c>
      <c r="G286" s="4">
        <f>IF(A286="","",IFERROR(VLOOKUP(A286,Categories!$A:$B,2,FALSE),"⚠️ Unknown category — Goldberg will ignore this row"))</f>
        <v/>
      </c>
    </row>
    <row r="287">
      <c r="F287" s="4">
        <f>IF(A287="","",IFERROR(VLOOKUP(A287,Categories!$A:$D,4,FALSE),""))</f>
        <v/>
      </c>
      <c r="G287" s="4">
        <f>IF(A287="","",IFERROR(VLOOKUP(A287,Categories!$A:$B,2,FALSE),"⚠️ Unknown category — Goldberg will ignore this row"))</f>
        <v/>
      </c>
    </row>
    <row r="288">
      <c r="F288" s="4">
        <f>IF(A288="","",IFERROR(VLOOKUP(A288,Categories!$A:$D,4,FALSE),""))</f>
        <v/>
      </c>
      <c r="G288" s="4">
        <f>IF(A288="","",IFERROR(VLOOKUP(A288,Categories!$A:$B,2,FALSE),"⚠️ Unknown category — Goldberg will ignore this row"))</f>
        <v/>
      </c>
    </row>
    <row r="289">
      <c r="F289" s="4">
        <f>IF(A289="","",IFERROR(VLOOKUP(A289,Categories!$A:$D,4,FALSE),""))</f>
        <v/>
      </c>
      <c r="G289" s="4">
        <f>IF(A289="","",IFERROR(VLOOKUP(A289,Categories!$A:$B,2,FALSE),"⚠️ Unknown category — Goldberg will ignore this row"))</f>
        <v/>
      </c>
    </row>
    <row r="290">
      <c r="F290" s="4">
        <f>IF(A290="","",IFERROR(VLOOKUP(A290,Categories!$A:$D,4,FALSE),""))</f>
        <v/>
      </c>
      <c r="G290" s="4">
        <f>IF(A290="","",IFERROR(VLOOKUP(A290,Categories!$A:$B,2,FALSE),"⚠️ Unknown category — Goldberg will ignore this row"))</f>
        <v/>
      </c>
    </row>
    <row r="291">
      <c r="F291" s="4">
        <f>IF(A291="","",IFERROR(VLOOKUP(A291,Categories!$A:$D,4,FALSE),""))</f>
        <v/>
      </c>
      <c r="G291" s="4">
        <f>IF(A291="","",IFERROR(VLOOKUP(A291,Categories!$A:$B,2,FALSE),"⚠️ Unknown category — Goldberg will ignore this row"))</f>
        <v/>
      </c>
    </row>
    <row r="292">
      <c r="F292" s="4">
        <f>IF(A292="","",IFERROR(VLOOKUP(A292,Categories!$A:$D,4,FALSE),""))</f>
        <v/>
      </c>
      <c r="G292" s="4">
        <f>IF(A292="","",IFERROR(VLOOKUP(A292,Categories!$A:$B,2,FALSE),"⚠️ Unknown category — Goldberg will ignore this row"))</f>
        <v/>
      </c>
    </row>
    <row r="293">
      <c r="F293" s="4">
        <f>IF(A293="","",IFERROR(VLOOKUP(A293,Categories!$A:$D,4,FALSE),""))</f>
        <v/>
      </c>
      <c r="G293" s="4">
        <f>IF(A293="","",IFERROR(VLOOKUP(A293,Categories!$A:$B,2,FALSE),"⚠️ Unknown category — Goldberg will ignore this row"))</f>
        <v/>
      </c>
    </row>
    <row r="294">
      <c r="F294" s="4">
        <f>IF(A294="","",IFERROR(VLOOKUP(A294,Categories!$A:$D,4,FALSE),""))</f>
        <v/>
      </c>
      <c r="G294" s="4">
        <f>IF(A294="","",IFERROR(VLOOKUP(A294,Categories!$A:$B,2,FALSE),"⚠️ Unknown category — Goldberg will ignore this row"))</f>
        <v/>
      </c>
    </row>
    <row r="295">
      <c r="F295" s="4">
        <f>IF(A295="","",IFERROR(VLOOKUP(A295,Categories!$A:$D,4,FALSE),""))</f>
        <v/>
      </c>
      <c r="G295" s="4">
        <f>IF(A295="","",IFERROR(VLOOKUP(A295,Categories!$A:$B,2,FALSE),"⚠️ Unknown category — Goldberg will ignore this row"))</f>
        <v/>
      </c>
    </row>
    <row r="296">
      <c r="F296" s="4">
        <f>IF(A296="","",IFERROR(VLOOKUP(A296,Categories!$A:$D,4,FALSE),""))</f>
        <v/>
      </c>
      <c r="G296" s="4">
        <f>IF(A296="","",IFERROR(VLOOKUP(A296,Categories!$A:$B,2,FALSE),"⚠️ Unknown category — Goldberg will ignore this row"))</f>
        <v/>
      </c>
    </row>
    <row r="297">
      <c r="F297" s="4">
        <f>IF(A297="","",IFERROR(VLOOKUP(A297,Categories!$A:$D,4,FALSE),""))</f>
        <v/>
      </c>
      <c r="G297" s="4">
        <f>IF(A297="","",IFERROR(VLOOKUP(A297,Categories!$A:$B,2,FALSE),"⚠️ Unknown category — Goldberg will ignore this row"))</f>
        <v/>
      </c>
    </row>
    <row r="298">
      <c r="F298" s="4">
        <f>IF(A298="","",IFERROR(VLOOKUP(A298,Categories!$A:$D,4,FALSE),""))</f>
        <v/>
      </c>
      <c r="G298" s="4">
        <f>IF(A298="","",IFERROR(VLOOKUP(A298,Categories!$A:$B,2,FALSE),"⚠️ Unknown category — Goldberg will ignore this row"))</f>
        <v/>
      </c>
    </row>
    <row r="299">
      <c r="F299" s="4">
        <f>IF(A299="","",IFERROR(VLOOKUP(A299,Categories!$A:$D,4,FALSE),""))</f>
        <v/>
      </c>
      <c r="G299" s="4">
        <f>IF(A299="","",IFERROR(VLOOKUP(A299,Categories!$A:$B,2,FALSE),"⚠️ Unknown category — Goldberg will ignore this row"))</f>
        <v/>
      </c>
    </row>
    <row r="300">
      <c r="F300" s="4">
        <f>IF(A300="","",IFERROR(VLOOKUP(A300,Categories!$A:$D,4,FALSE),""))</f>
        <v/>
      </c>
      <c r="G300" s="4">
        <f>IF(A300="","",IFERROR(VLOOKUP(A300,Categories!$A:$B,2,FALSE),"⚠️ Unknown category — Goldberg will ignore this row"))</f>
        <v/>
      </c>
    </row>
    <row r="301">
      <c r="F301" s="4">
        <f>IF(A301="","",IFERROR(VLOOKUP(A301,Categories!$A:$D,4,FALSE),""))</f>
        <v/>
      </c>
      <c r="G301" s="4">
        <f>IF(A301="","",IFERROR(VLOOKUP(A301,Categories!$A:$B,2,FALSE),"⚠️ Unknown category — Goldberg will ignore this row"))</f>
        <v/>
      </c>
    </row>
    <row r="302">
      <c r="F302" s="4">
        <f>IF(A302="","",IFERROR(VLOOKUP(A302,Categories!$A:$D,4,FALSE),""))</f>
        <v/>
      </c>
      <c r="G302" s="4">
        <f>IF(A302="","",IFERROR(VLOOKUP(A302,Categories!$A:$B,2,FALSE),"⚠️ Unknown category — Goldberg will ignore this row"))</f>
        <v/>
      </c>
    </row>
    <row r="303">
      <c r="F303" s="4">
        <f>IF(A303="","",IFERROR(VLOOKUP(A303,Categories!$A:$D,4,FALSE),""))</f>
        <v/>
      </c>
      <c r="G303" s="4">
        <f>IF(A303="","",IFERROR(VLOOKUP(A303,Categories!$A:$B,2,FALSE),"⚠️ Unknown category — Goldberg will ignore this row"))</f>
        <v/>
      </c>
    </row>
    <row r="304">
      <c r="F304" s="4">
        <f>IF(A304="","",IFERROR(VLOOKUP(A304,Categories!$A:$D,4,FALSE),""))</f>
        <v/>
      </c>
      <c r="G304" s="4">
        <f>IF(A304="","",IFERROR(VLOOKUP(A304,Categories!$A:$B,2,FALSE),"⚠️ Unknown category — Goldberg will ignore this row"))</f>
        <v/>
      </c>
    </row>
    <row r="305">
      <c r="F305" s="4">
        <f>IF(A305="","",IFERROR(VLOOKUP(A305,Categories!$A:$D,4,FALSE),""))</f>
        <v/>
      </c>
      <c r="G305" s="4">
        <f>IF(A305="","",IFERROR(VLOOKUP(A305,Categories!$A:$B,2,FALSE),"⚠️ Unknown category — Goldberg will ignore this row"))</f>
        <v/>
      </c>
    </row>
    <row r="306">
      <c r="F306" s="4">
        <f>IF(A306="","",IFERROR(VLOOKUP(A306,Categories!$A:$D,4,FALSE),""))</f>
        <v/>
      </c>
      <c r="G306" s="4">
        <f>IF(A306="","",IFERROR(VLOOKUP(A306,Categories!$A:$B,2,FALSE),"⚠️ Unknown category — Goldberg will ignore this row"))</f>
        <v/>
      </c>
    </row>
    <row r="307">
      <c r="F307" s="4">
        <f>IF(A307="","",IFERROR(VLOOKUP(A307,Categories!$A:$D,4,FALSE),""))</f>
        <v/>
      </c>
      <c r="G307" s="4">
        <f>IF(A307="","",IFERROR(VLOOKUP(A307,Categories!$A:$B,2,FALSE),"⚠️ Unknown category — Goldberg will ignore this row"))</f>
        <v/>
      </c>
    </row>
    <row r="308">
      <c r="F308" s="4">
        <f>IF(A308="","",IFERROR(VLOOKUP(A308,Categories!$A:$D,4,FALSE),""))</f>
        <v/>
      </c>
      <c r="G308" s="4">
        <f>IF(A308="","",IFERROR(VLOOKUP(A308,Categories!$A:$B,2,FALSE),"⚠️ Unknown category — Goldberg will ignore this row"))</f>
        <v/>
      </c>
    </row>
    <row r="309">
      <c r="F309" s="4">
        <f>IF(A309="","",IFERROR(VLOOKUP(A309,Categories!$A:$D,4,FALSE),""))</f>
        <v/>
      </c>
      <c r="G309" s="4">
        <f>IF(A309="","",IFERROR(VLOOKUP(A309,Categories!$A:$B,2,FALSE),"⚠️ Unknown category — Goldberg will ignore this row"))</f>
        <v/>
      </c>
    </row>
    <row r="310">
      <c r="F310" s="4">
        <f>IF(A310="","",IFERROR(VLOOKUP(A310,Categories!$A:$D,4,FALSE),""))</f>
        <v/>
      </c>
      <c r="G310" s="4">
        <f>IF(A310="","",IFERROR(VLOOKUP(A310,Categories!$A:$B,2,FALSE),"⚠️ Unknown category — Goldberg will ignore this row"))</f>
        <v/>
      </c>
    </row>
    <row r="311">
      <c r="F311" s="4">
        <f>IF(A311="","",IFERROR(VLOOKUP(A311,Categories!$A:$D,4,FALSE),""))</f>
        <v/>
      </c>
      <c r="G311" s="4">
        <f>IF(A311="","",IFERROR(VLOOKUP(A311,Categories!$A:$B,2,FALSE),"⚠️ Unknown category — Goldberg will ignore this row"))</f>
        <v/>
      </c>
    </row>
    <row r="312">
      <c r="F312" s="4">
        <f>IF(A312="","",IFERROR(VLOOKUP(A312,Categories!$A:$D,4,FALSE),""))</f>
        <v/>
      </c>
      <c r="G312" s="4">
        <f>IF(A312="","",IFERROR(VLOOKUP(A312,Categories!$A:$B,2,FALSE),"⚠️ Unknown category — Goldberg will ignore this row"))</f>
        <v/>
      </c>
    </row>
    <row r="313">
      <c r="F313" s="4">
        <f>IF(A313="","",IFERROR(VLOOKUP(A313,Categories!$A:$D,4,FALSE),""))</f>
        <v/>
      </c>
      <c r="G313" s="4">
        <f>IF(A313="","",IFERROR(VLOOKUP(A313,Categories!$A:$B,2,FALSE),"⚠️ Unknown category — Goldberg will ignore this row"))</f>
        <v/>
      </c>
    </row>
    <row r="314">
      <c r="F314" s="4">
        <f>IF(A314="","",IFERROR(VLOOKUP(A314,Categories!$A:$D,4,FALSE),""))</f>
        <v/>
      </c>
      <c r="G314" s="4">
        <f>IF(A314="","",IFERROR(VLOOKUP(A314,Categories!$A:$B,2,FALSE),"⚠️ Unknown category — Goldberg will ignore this row"))</f>
        <v/>
      </c>
    </row>
    <row r="315">
      <c r="F315" s="4">
        <f>IF(A315="","",IFERROR(VLOOKUP(A315,Categories!$A:$D,4,FALSE),""))</f>
        <v/>
      </c>
      <c r="G315" s="4">
        <f>IF(A315="","",IFERROR(VLOOKUP(A315,Categories!$A:$B,2,FALSE),"⚠️ Unknown category — Goldberg will ignore this row"))</f>
        <v/>
      </c>
    </row>
    <row r="316">
      <c r="F316" s="4">
        <f>IF(A316="","",IFERROR(VLOOKUP(A316,Categories!$A:$D,4,FALSE),""))</f>
        <v/>
      </c>
      <c r="G316" s="4">
        <f>IF(A316="","",IFERROR(VLOOKUP(A316,Categories!$A:$B,2,FALSE),"⚠️ Unknown category — Goldberg will ignore this row"))</f>
        <v/>
      </c>
    </row>
    <row r="317">
      <c r="F317" s="4">
        <f>IF(A317="","",IFERROR(VLOOKUP(A317,Categories!$A:$D,4,FALSE),""))</f>
        <v/>
      </c>
      <c r="G317" s="4">
        <f>IF(A317="","",IFERROR(VLOOKUP(A317,Categories!$A:$B,2,FALSE),"⚠️ Unknown category — Goldberg will ignore this row"))</f>
        <v/>
      </c>
    </row>
    <row r="318">
      <c r="F318" s="4">
        <f>IF(A318="","",IFERROR(VLOOKUP(A318,Categories!$A:$D,4,FALSE),""))</f>
        <v/>
      </c>
      <c r="G318" s="4">
        <f>IF(A318="","",IFERROR(VLOOKUP(A318,Categories!$A:$B,2,FALSE),"⚠️ Unknown category — Goldberg will ignore this row"))</f>
        <v/>
      </c>
    </row>
    <row r="319">
      <c r="F319" s="4">
        <f>IF(A319="","",IFERROR(VLOOKUP(A319,Categories!$A:$D,4,FALSE),""))</f>
        <v/>
      </c>
      <c r="G319" s="4">
        <f>IF(A319="","",IFERROR(VLOOKUP(A319,Categories!$A:$B,2,FALSE),"⚠️ Unknown category — Goldberg will ignore this row"))</f>
        <v/>
      </c>
    </row>
    <row r="320">
      <c r="F320" s="4">
        <f>IF(A320="","",IFERROR(VLOOKUP(A320,Categories!$A:$D,4,FALSE),""))</f>
        <v/>
      </c>
      <c r="G320" s="4">
        <f>IF(A320="","",IFERROR(VLOOKUP(A320,Categories!$A:$B,2,FALSE),"⚠️ Unknown category — Goldberg will ignore this row"))</f>
        <v/>
      </c>
    </row>
    <row r="321">
      <c r="F321" s="4">
        <f>IF(A321="","",IFERROR(VLOOKUP(A321,Categories!$A:$D,4,FALSE),""))</f>
        <v/>
      </c>
      <c r="G321" s="4">
        <f>IF(A321="","",IFERROR(VLOOKUP(A321,Categories!$A:$B,2,FALSE),"⚠️ Unknown category — Goldberg will ignore this row"))</f>
        <v/>
      </c>
    </row>
    <row r="322">
      <c r="F322" s="4">
        <f>IF(A322="","",IFERROR(VLOOKUP(A322,Categories!$A:$D,4,FALSE),""))</f>
        <v/>
      </c>
      <c r="G322" s="4">
        <f>IF(A322="","",IFERROR(VLOOKUP(A322,Categories!$A:$B,2,FALSE),"⚠️ Unknown category — Goldberg will ignore this row"))</f>
        <v/>
      </c>
    </row>
    <row r="323">
      <c r="F323" s="4">
        <f>IF(A323="","",IFERROR(VLOOKUP(A323,Categories!$A:$D,4,FALSE),""))</f>
        <v/>
      </c>
      <c r="G323" s="4">
        <f>IF(A323="","",IFERROR(VLOOKUP(A323,Categories!$A:$B,2,FALSE),"⚠️ Unknown category — Goldberg will ignore this row"))</f>
        <v/>
      </c>
    </row>
    <row r="324">
      <c r="F324" s="4">
        <f>IF(A324="","",IFERROR(VLOOKUP(A324,Categories!$A:$D,4,FALSE),""))</f>
        <v/>
      </c>
      <c r="G324" s="4">
        <f>IF(A324="","",IFERROR(VLOOKUP(A324,Categories!$A:$B,2,FALSE),"⚠️ Unknown category — Goldberg will ignore this row"))</f>
        <v/>
      </c>
    </row>
    <row r="325">
      <c r="F325" s="4">
        <f>IF(A325="","",IFERROR(VLOOKUP(A325,Categories!$A:$D,4,FALSE),""))</f>
        <v/>
      </c>
      <c r="G325" s="4">
        <f>IF(A325="","",IFERROR(VLOOKUP(A325,Categories!$A:$B,2,FALSE),"⚠️ Unknown category — Goldberg will ignore this row"))</f>
        <v/>
      </c>
    </row>
    <row r="326">
      <c r="F326" s="4">
        <f>IF(A326="","",IFERROR(VLOOKUP(A326,Categories!$A:$D,4,FALSE),""))</f>
        <v/>
      </c>
      <c r="G326" s="4">
        <f>IF(A326="","",IFERROR(VLOOKUP(A326,Categories!$A:$B,2,FALSE),"⚠️ Unknown category — Goldberg will ignore this row"))</f>
        <v/>
      </c>
    </row>
    <row r="327">
      <c r="F327" s="4">
        <f>IF(A327="","",IFERROR(VLOOKUP(A327,Categories!$A:$D,4,FALSE),""))</f>
        <v/>
      </c>
      <c r="G327" s="4">
        <f>IF(A327="","",IFERROR(VLOOKUP(A327,Categories!$A:$B,2,FALSE),"⚠️ Unknown category — Goldberg will ignore this row"))</f>
        <v/>
      </c>
    </row>
    <row r="328">
      <c r="F328" s="4">
        <f>IF(A328="","",IFERROR(VLOOKUP(A328,Categories!$A:$D,4,FALSE),""))</f>
        <v/>
      </c>
      <c r="G328" s="4">
        <f>IF(A328="","",IFERROR(VLOOKUP(A328,Categories!$A:$B,2,FALSE),"⚠️ Unknown category — Goldberg will ignore this row"))</f>
        <v/>
      </c>
    </row>
    <row r="329">
      <c r="F329" s="4">
        <f>IF(A329="","",IFERROR(VLOOKUP(A329,Categories!$A:$D,4,FALSE),""))</f>
        <v/>
      </c>
      <c r="G329" s="4">
        <f>IF(A329="","",IFERROR(VLOOKUP(A329,Categories!$A:$B,2,FALSE),"⚠️ Unknown category — Goldberg will ignore this row"))</f>
        <v/>
      </c>
    </row>
    <row r="330">
      <c r="F330" s="4">
        <f>IF(A330="","",IFERROR(VLOOKUP(A330,Categories!$A:$D,4,FALSE),""))</f>
        <v/>
      </c>
      <c r="G330" s="4">
        <f>IF(A330="","",IFERROR(VLOOKUP(A330,Categories!$A:$B,2,FALSE),"⚠️ Unknown category — Goldberg will ignore this row"))</f>
        <v/>
      </c>
    </row>
    <row r="331">
      <c r="F331" s="4">
        <f>IF(A331="","",IFERROR(VLOOKUP(A331,Categories!$A:$D,4,FALSE),""))</f>
        <v/>
      </c>
      <c r="G331" s="4">
        <f>IF(A331="","",IFERROR(VLOOKUP(A331,Categories!$A:$B,2,FALSE),"⚠️ Unknown category — Goldberg will ignore this row"))</f>
        <v/>
      </c>
    </row>
    <row r="332">
      <c r="F332" s="4">
        <f>IF(A332="","",IFERROR(VLOOKUP(A332,Categories!$A:$D,4,FALSE),""))</f>
        <v/>
      </c>
      <c r="G332" s="4">
        <f>IF(A332="","",IFERROR(VLOOKUP(A332,Categories!$A:$B,2,FALSE),"⚠️ Unknown category — Goldberg will ignore this row"))</f>
        <v/>
      </c>
    </row>
    <row r="333">
      <c r="F333" s="4">
        <f>IF(A333="","",IFERROR(VLOOKUP(A333,Categories!$A:$D,4,FALSE),""))</f>
        <v/>
      </c>
      <c r="G333" s="4">
        <f>IF(A333="","",IFERROR(VLOOKUP(A333,Categories!$A:$B,2,FALSE),"⚠️ Unknown category — Goldberg will ignore this row"))</f>
        <v/>
      </c>
    </row>
    <row r="334">
      <c r="F334" s="4">
        <f>IF(A334="","",IFERROR(VLOOKUP(A334,Categories!$A:$D,4,FALSE),""))</f>
        <v/>
      </c>
      <c r="G334" s="4">
        <f>IF(A334="","",IFERROR(VLOOKUP(A334,Categories!$A:$B,2,FALSE),"⚠️ Unknown category — Goldberg will ignore this row"))</f>
        <v/>
      </c>
    </row>
    <row r="335">
      <c r="F335" s="4">
        <f>IF(A335="","",IFERROR(VLOOKUP(A335,Categories!$A:$D,4,FALSE),""))</f>
        <v/>
      </c>
      <c r="G335" s="4">
        <f>IF(A335="","",IFERROR(VLOOKUP(A335,Categories!$A:$B,2,FALSE),"⚠️ Unknown category — Goldberg will ignore this row"))</f>
        <v/>
      </c>
    </row>
    <row r="336">
      <c r="F336" s="4">
        <f>IF(A336="","",IFERROR(VLOOKUP(A336,Categories!$A:$D,4,FALSE),""))</f>
        <v/>
      </c>
      <c r="G336" s="4">
        <f>IF(A336="","",IFERROR(VLOOKUP(A336,Categories!$A:$B,2,FALSE),"⚠️ Unknown category — Goldberg will ignore this row"))</f>
        <v/>
      </c>
    </row>
    <row r="337">
      <c r="F337" s="4">
        <f>IF(A337="","",IFERROR(VLOOKUP(A337,Categories!$A:$D,4,FALSE),""))</f>
        <v/>
      </c>
      <c r="G337" s="4">
        <f>IF(A337="","",IFERROR(VLOOKUP(A337,Categories!$A:$B,2,FALSE),"⚠️ Unknown category — Goldberg will ignore this row"))</f>
        <v/>
      </c>
    </row>
    <row r="338">
      <c r="F338" s="4">
        <f>IF(A338="","",IFERROR(VLOOKUP(A338,Categories!$A:$D,4,FALSE),""))</f>
        <v/>
      </c>
      <c r="G338" s="4">
        <f>IF(A338="","",IFERROR(VLOOKUP(A338,Categories!$A:$B,2,FALSE),"⚠️ Unknown category — Goldberg will ignore this row"))</f>
        <v/>
      </c>
    </row>
    <row r="339">
      <c r="F339" s="4">
        <f>IF(A339="","",IFERROR(VLOOKUP(A339,Categories!$A:$D,4,FALSE),""))</f>
        <v/>
      </c>
      <c r="G339" s="4">
        <f>IF(A339="","",IFERROR(VLOOKUP(A339,Categories!$A:$B,2,FALSE),"⚠️ Unknown category — Goldberg will ignore this row"))</f>
        <v/>
      </c>
    </row>
    <row r="340">
      <c r="F340" s="4">
        <f>IF(A340="","",IFERROR(VLOOKUP(A340,Categories!$A:$D,4,FALSE),""))</f>
        <v/>
      </c>
      <c r="G340" s="4">
        <f>IF(A340="","",IFERROR(VLOOKUP(A340,Categories!$A:$B,2,FALSE),"⚠️ Unknown category — Goldberg will ignore this row"))</f>
        <v/>
      </c>
    </row>
    <row r="341">
      <c r="F341" s="4">
        <f>IF(A341="","",IFERROR(VLOOKUP(A341,Categories!$A:$D,4,FALSE),""))</f>
        <v/>
      </c>
      <c r="G341" s="4">
        <f>IF(A341="","",IFERROR(VLOOKUP(A341,Categories!$A:$B,2,FALSE),"⚠️ Unknown category — Goldberg will ignore this row"))</f>
        <v/>
      </c>
    </row>
    <row r="342">
      <c r="F342" s="4">
        <f>IF(A342="","",IFERROR(VLOOKUP(A342,Categories!$A:$D,4,FALSE),""))</f>
        <v/>
      </c>
      <c r="G342" s="4">
        <f>IF(A342="","",IFERROR(VLOOKUP(A342,Categories!$A:$B,2,FALSE),"⚠️ Unknown category — Goldberg will ignore this row"))</f>
        <v/>
      </c>
    </row>
    <row r="343">
      <c r="F343" s="4">
        <f>IF(A343="","",IFERROR(VLOOKUP(A343,Categories!$A:$D,4,FALSE),""))</f>
        <v/>
      </c>
      <c r="G343" s="4">
        <f>IF(A343="","",IFERROR(VLOOKUP(A343,Categories!$A:$B,2,FALSE),"⚠️ Unknown category — Goldberg will ignore this row"))</f>
        <v/>
      </c>
    </row>
    <row r="344">
      <c r="F344" s="4">
        <f>IF(A344="","",IFERROR(VLOOKUP(A344,Categories!$A:$D,4,FALSE),""))</f>
        <v/>
      </c>
      <c r="G344" s="4">
        <f>IF(A344="","",IFERROR(VLOOKUP(A344,Categories!$A:$B,2,FALSE),"⚠️ Unknown category — Goldberg will ignore this row"))</f>
        <v/>
      </c>
    </row>
    <row r="345">
      <c r="F345" s="4">
        <f>IF(A345="","",IFERROR(VLOOKUP(A345,Categories!$A:$D,4,FALSE),""))</f>
        <v/>
      </c>
      <c r="G345" s="4">
        <f>IF(A345="","",IFERROR(VLOOKUP(A345,Categories!$A:$B,2,FALSE),"⚠️ Unknown category — Goldberg will ignore this row"))</f>
        <v/>
      </c>
    </row>
    <row r="346">
      <c r="F346" s="4">
        <f>IF(A346="","",IFERROR(VLOOKUP(A346,Categories!$A:$D,4,FALSE),""))</f>
        <v/>
      </c>
      <c r="G346" s="4">
        <f>IF(A346="","",IFERROR(VLOOKUP(A346,Categories!$A:$B,2,FALSE),"⚠️ Unknown category — Goldberg will ignore this row"))</f>
        <v/>
      </c>
    </row>
    <row r="347">
      <c r="F347" s="4">
        <f>IF(A347="","",IFERROR(VLOOKUP(A347,Categories!$A:$D,4,FALSE),""))</f>
        <v/>
      </c>
      <c r="G347" s="4">
        <f>IF(A347="","",IFERROR(VLOOKUP(A347,Categories!$A:$B,2,FALSE),"⚠️ Unknown category — Goldberg will ignore this row"))</f>
        <v/>
      </c>
    </row>
    <row r="348">
      <c r="F348" s="4">
        <f>IF(A348="","",IFERROR(VLOOKUP(A348,Categories!$A:$D,4,FALSE),""))</f>
        <v/>
      </c>
      <c r="G348" s="4">
        <f>IF(A348="","",IFERROR(VLOOKUP(A348,Categories!$A:$B,2,FALSE),"⚠️ Unknown category — Goldberg will ignore this row"))</f>
        <v/>
      </c>
    </row>
    <row r="349">
      <c r="F349" s="4">
        <f>IF(A349="","",IFERROR(VLOOKUP(A349,Categories!$A:$D,4,FALSE),""))</f>
        <v/>
      </c>
      <c r="G349" s="4">
        <f>IF(A349="","",IFERROR(VLOOKUP(A349,Categories!$A:$B,2,FALSE),"⚠️ Unknown category — Goldberg will ignore this row"))</f>
        <v/>
      </c>
    </row>
    <row r="350">
      <c r="F350" s="4">
        <f>IF(A350="","",IFERROR(VLOOKUP(A350,Categories!$A:$D,4,FALSE),""))</f>
        <v/>
      </c>
      <c r="G350" s="4">
        <f>IF(A350="","",IFERROR(VLOOKUP(A350,Categories!$A:$B,2,FALSE),"⚠️ Unknown category — Goldberg will ignore this row"))</f>
        <v/>
      </c>
    </row>
    <row r="351">
      <c r="F351" s="4">
        <f>IF(A351="","",IFERROR(VLOOKUP(A351,Categories!$A:$D,4,FALSE),""))</f>
        <v/>
      </c>
      <c r="G351" s="4">
        <f>IF(A351="","",IFERROR(VLOOKUP(A351,Categories!$A:$B,2,FALSE),"⚠️ Unknown category — Goldberg will ignore this row"))</f>
        <v/>
      </c>
    </row>
    <row r="352">
      <c r="F352" s="4">
        <f>IF(A352="","",IFERROR(VLOOKUP(A352,Categories!$A:$D,4,FALSE),""))</f>
        <v/>
      </c>
      <c r="G352" s="4">
        <f>IF(A352="","",IFERROR(VLOOKUP(A352,Categories!$A:$B,2,FALSE),"⚠️ Unknown category — Goldberg will ignore this row"))</f>
        <v/>
      </c>
    </row>
    <row r="353">
      <c r="F353" s="4">
        <f>IF(A353="","",IFERROR(VLOOKUP(A353,Categories!$A:$D,4,FALSE),""))</f>
        <v/>
      </c>
      <c r="G353" s="4">
        <f>IF(A353="","",IFERROR(VLOOKUP(A353,Categories!$A:$B,2,FALSE),"⚠️ Unknown category — Goldberg will ignore this row"))</f>
        <v/>
      </c>
    </row>
    <row r="354">
      <c r="F354" s="4">
        <f>IF(A354="","",IFERROR(VLOOKUP(A354,Categories!$A:$D,4,FALSE),""))</f>
        <v/>
      </c>
      <c r="G354" s="4">
        <f>IF(A354="","",IFERROR(VLOOKUP(A354,Categories!$A:$B,2,FALSE),"⚠️ Unknown category — Goldberg will ignore this row"))</f>
        <v/>
      </c>
    </row>
    <row r="355">
      <c r="F355" s="4">
        <f>IF(A355="","",IFERROR(VLOOKUP(A355,Categories!$A:$D,4,FALSE),""))</f>
        <v/>
      </c>
      <c r="G355" s="4">
        <f>IF(A355="","",IFERROR(VLOOKUP(A355,Categories!$A:$B,2,FALSE),"⚠️ Unknown category — Goldberg will ignore this row"))</f>
        <v/>
      </c>
    </row>
    <row r="356">
      <c r="F356" s="4">
        <f>IF(A356="","",IFERROR(VLOOKUP(A356,Categories!$A:$D,4,FALSE),""))</f>
        <v/>
      </c>
      <c r="G356" s="4">
        <f>IF(A356="","",IFERROR(VLOOKUP(A356,Categories!$A:$B,2,FALSE),"⚠️ Unknown category — Goldberg will ignore this row"))</f>
        <v/>
      </c>
    </row>
    <row r="357">
      <c r="F357" s="4">
        <f>IF(A357="","",IFERROR(VLOOKUP(A357,Categories!$A:$D,4,FALSE),""))</f>
        <v/>
      </c>
      <c r="G357" s="4">
        <f>IF(A357="","",IFERROR(VLOOKUP(A357,Categories!$A:$B,2,FALSE),"⚠️ Unknown category — Goldberg will ignore this row"))</f>
        <v/>
      </c>
    </row>
    <row r="358">
      <c r="F358" s="4">
        <f>IF(A358="","",IFERROR(VLOOKUP(A358,Categories!$A:$D,4,FALSE),""))</f>
        <v/>
      </c>
      <c r="G358" s="4">
        <f>IF(A358="","",IFERROR(VLOOKUP(A358,Categories!$A:$B,2,FALSE),"⚠️ Unknown category — Goldberg will ignore this row"))</f>
        <v/>
      </c>
    </row>
    <row r="359">
      <c r="F359" s="4">
        <f>IF(A359="","",IFERROR(VLOOKUP(A359,Categories!$A:$D,4,FALSE),""))</f>
        <v/>
      </c>
      <c r="G359" s="4">
        <f>IF(A359="","",IFERROR(VLOOKUP(A359,Categories!$A:$B,2,FALSE),"⚠️ Unknown category — Goldberg will ignore this row"))</f>
        <v/>
      </c>
    </row>
    <row r="360">
      <c r="F360" s="4">
        <f>IF(A360="","",IFERROR(VLOOKUP(A360,Categories!$A:$D,4,FALSE),""))</f>
        <v/>
      </c>
      <c r="G360" s="4">
        <f>IF(A360="","",IFERROR(VLOOKUP(A360,Categories!$A:$B,2,FALSE),"⚠️ Unknown category — Goldberg will ignore this row"))</f>
        <v/>
      </c>
    </row>
    <row r="361">
      <c r="F361" s="4">
        <f>IF(A361="","",IFERROR(VLOOKUP(A361,Categories!$A:$D,4,FALSE),""))</f>
        <v/>
      </c>
      <c r="G361" s="4">
        <f>IF(A361="","",IFERROR(VLOOKUP(A361,Categories!$A:$B,2,FALSE),"⚠️ Unknown category — Goldberg will ignore this row"))</f>
        <v/>
      </c>
    </row>
    <row r="362">
      <c r="F362" s="4">
        <f>IF(A362="","",IFERROR(VLOOKUP(A362,Categories!$A:$D,4,FALSE),""))</f>
        <v/>
      </c>
      <c r="G362" s="4">
        <f>IF(A362="","",IFERROR(VLOOKUP(A362,Categories!$A:$B,2,FALSE),"⚠️ Unknown category — Goldberg will ignore this row"))</f>
        <v/>
      </c>
    </row>
    <row r="363">
      <c r="F363" s="4">
        <f>IF(A363="","",IFERROR(VLOOKUP(A363,Categories!$A:$D,4,FALSE),""))</f>
        <v/>
      </c>
      <c r="G363" s="4">
        <f>IF(A363="","",IFERROR(VLOOKUP(A363,Categories!$A:$B,2,FALSE),"⚠️ Unknown category — Goldberg will ignore this row"))</f>
        <v/>
      </c>
    </row>
    <row r="364">
      <c r="F364" s="4">
        <f>IF(A364="","",IFERROR(VLOOKUP(A364,Categories!$A:$D,4,FALSE),""))</f>
        <v/>
      </c>
      <c r="G364" s="4">
        <f>IF(A364="","",IFERROR(VLOOKUP(A364,Categories!$A:$B,2,FALSE),"⚠️ Unknown category — Goldberg will ignore this row"))</f>
        <v/>
      </c>
    </row>
    <row r="365">
      <c r="F365" s="4">
        <f>IF(A365="","",IFERROR(VLOOKUP(A365,Categories!$A:$D,4,FALSE),""))</f>
        <v/>
      </c>
      <c r="G365" s="4">
        <f>IF(A365="","",IFERROR(VLOOKUP(A365,Categories!$A:$B,2,FALSE),"⚠️ Unknown category — Goldberg will ignore this row"))</f>
        <v/>
      </c>
    </row>
    <row r="366">
      <c r="F366" s="4">
        <f>IF(A366="","",IFERROR(VLOOKUP(A366,Categories!$A:$D,4,FALSE),""))</f>
        <v/>
      </c>
      <c r="G366" s="4">
        <f>IF(A366="","",IFERROR(VLOOKUP(A366,Categories!$A:$B,2,FALSE),"⚠️ Unknown category — Goldberg will ignore this row"))</f>
        <v/>
      </c>
    </row>
    <row r="367">
      <c r="F367" s="4">
        <f>IF(A367="","",IFERROR(VLOOKUP(A367,Categories!$A:$D,4,FALSE),""))</f>
        <v/>
      </c>
      <c r="G367" s="4">
        <f>IF(A367="","",IFERROR(VLOOKUP(A367,Categories!$A:$B,2,FALSE),"⚠️ Unknown category — Goldberg will ignore this row"))</f>
        <v/>
      </c>
    </row>
    <row r="368">
      <c r="F368" s="4">
        <f>IF(A368="","",IFERROR(VLOOKUP(A368,Categories!$A:$D,4,FALSE),""))</f>
        <v/>
      </c>
      <c r="G368" s="4">
        <f>IF(A368="","",IFERROR(VLOOKUP(A368,Categories!$A:$B,2,FALSE),"⚠️ Unknown category — Goldberg will ignore this row"))</f>
        <v/>
      </c>
    </row>
    <row r="369">
      <c r="F369" s="4">
        <f>IF(A369="","",IFERROR(VLOOKUP(A369,Categories!$A:$D,4,FALSE),""))</f>
        <v/>
      </c>
      <c r="G369" s="4">
        <f>IF(A369="","",IFERROR(VLOOKUP(A369,Categories!$A:$B,2,FALSE),"⚠️ Unknown category — Goldberg will ignore this row"))</f>
        <v/>
      </c>
    </row>
    <row r="370">
      <c r="F370" s="4">
        <f>IF(A370="","",IFERROR(VLOOKUP(A370,Categories!$A:$D,4,FALSE),""))</f>
        <v/>
      </c>
      <c r="G370" s="4">
        <f>IF(A370="","",IFERROR(VLOOKUP(A370,Categories!$A:$B,2,FALSE),"⚠️ Unknown category — Goldberg will ignore this row"))</f>
        <v/>
      </c>
    </row>
    <row r="371">
      <c r="F371" s="4">
        <f>IF(A371="","",IFERROR(VLOOKUP(A371,Categories!$A:$D,4,FALSE),""))</f>
        <v/>
      </c>
      <c r="G371" s="4">
        <f>IF(A371="","",IFERROR(VLOOKUP(A371,Categories!$A:$B,2,FALSE),"⚠️ Unknown category — Goldberg will ignore this row"))</f>
        <v/>
      </c>
    </row>
    <row r="372">
      <c r="F372" s="4">
        <f>IF(A372="","",IFERROR(VLOOKUP(A372,Categories!$A:$D,4,FALSE),""))</f>
        <v/>
      </c>
      <c r="G372" s="4">
        <f>IF(A372="","",IFERROR(VLOOKUP(A372,Categories!$A:$B,2,FALSE),"⚠️ Unknown category — Goldberg will ignore this row"))</f>
        <v/>
      </c>
    </row>
    <row r="373">
      <c r="F373" s="4">
        <f>IF(A373="","",IFERROR(VLOOKUP(A373,Categories!$A:$D,4,FALSE),""))</f>
        <v/>
      </c>
      <c r="G373" s="4">
        <f>IF(A373="","",IFERROR(VLOOKUP(A373,Categories!$A:$B,2,FALSE),"⚠️ Unknown category — Goldberg will ignore this row"))</f>
        <v/>
      </c>
    </row>
    <row r="374">
      <c r="F374" s="4">
        <f>IF(A374="","",IFERROR(VLOOKUP(A374,Categories!$A:$D,4,FALSE),""))</f>
        <v/>
      </c>
      <c r="G374" s="4">
        <f>IF(A374="","",IFERROR(VLOOKUP(A374,Categories!$A:$B,2,FALSE),"⚠️ Unknown category — Goldberg will ignore this row"))</f>
        <v/>
      </c>
    </row>
    <row r="375">
      <c r="F375" s="4">
        <f>IF(A375="","",IFERROR(VLOOKUP(A375,Categories!$A:$D,4,FALSE),""))</f>
        <v/>
      </c>
      <c r="G375" s="4">
        <f>IF(A375="","",IFERROR(VLOOKUP(A375,Categories!$A:$B,2,FALSE),"⚠️ Unknown category — Goldberg will ignore this row"))</f>
        <v/>
      </c>
    </row>
    <row r="376">
      <c r="F376" s="4">
        <f>IF(A376="","",IFERROR(VLOOKUP(A376,Categories!$A:$D,4,FALSE),""))</f>
        <v/>
      </c>
      <c r="G376" s="4">
        <f>IF(A376="","",IFERROR(VLOOKUP(A376,Categories!$A:$B,2,FALSE),"⚠️ Unknown category — Goldberg will ignore this row"))</f>
        <v/>
      </c>
    </row>
    <row r="377">
      <c r="F377" s="4">
        <f>IF(A377="","",IFERROR(VLOOKUP(A377,Categories!$A:$D,4,FALSE),""))</f>
        <v/>
      </c>
      <c r="G377" s="4">
        <f>IF(A377="","",IFERROR(VLOOKUP(A377,Categories!$A:$B,2,FALSE),"⚠️ Unknown category — Goldberg will ignore this row"))</f>
        <v/>
      </c>
    </row>
    <row r="378">
      <c r="F378" s="4">
        <f>IF(A378="","",IFERROR(VLOOKUP(A378,Categories!$A:$D,4,FALSE),""))</f>
        <v/>
      </c>
      <c r="G378" s="4">
        <f>IF(A378="","",IFERROR(VLOOKUP(A378,Categories!$A:$B,2,FALSE),"⚠️ Unknown category — Goldberg will ignore this row"))</f>
        <v/>
      </c>
    </row>
    <row r="379">
      <c r="F379" s="4">
        <f>IF(A379="","",IFERROR(VLOOKUP(A379,Categories!$A:$D,4,FALSE),""))</f>
        <v/>
      </c>
      <c r="G379" s="4">
        <f>IF(A379="","",IFERROR(VLOOKUP(A379,Categories!$A:$B,2,FALSE),"⚠️ Unknown category — Goldberg will ignore this row"))</f>
        <v/>
      </c>
    </row>
    <row r="380">
      <c r="F380" s="4">
        <f>IF(A380="","",IFERROR(VLOOKUP(A380,Categories!$A:$D,4,FALSE),""))</f>
        <v/>
      </c>
      <c r="G380" s="4">
        <f>IF(A380="","",IFERROR(VLOOKUP(A380,Categories!$A:$B,2,FALSE),"⚠️ Unknown category — Goldberg will ignore this row"))</f>
        <v/>
      </c>
    </row>
    <row r="381">
      <c r="F381" s="4">
        <f>IF(A381="","",IFERROR(VLOOKUP(A381,Categories!$A:$D,4,FALSE),""))</f>
        <v/>
      </c>
      <c r="G381" s="4">
        <f>IF(A381="","",IFERROR(VLOOKUP(A381,Categories!$A:$B,2,FALSE),"⚠️ Unknown category — Goldberg will ignore this row"))</f>
        <v/>
      </c>
    </row>
    <row r="382">
      <c r="F382" s="4">
        <f>IF(A382="","",IFERROR(VLOOKUP(A382,Categories!$A:$D,4,FALSE),""))</f>
        <v/>
      </c>
      <c r="G382" s="4">
        <f>IF(A382="","",IFERROR(VLOOKUP(A382,Categories!$A:$B,2,FALSE),"⚠️ Unknown category — Goldberg will ignore this row"))</f>
        <v/>
      </c>
    </row>
    <row r="383">
      <c r="F383" s="4">
        <f>IF(A383="","",IFERROR(VLOOKUP(A383,Categories!$A:$D,4,FALSE),""))</f>
        <v/>
      </c>
      <c r="G383" s="4">
        <f>IF(A383="","",IFERROR(VLOOKUP(A383,Categories!$A:$B,2,FALSE),"⚠️ Unknown category — Goldberg will ignore this row"))</f>
        <v/>
      </c>
    </row>
    <row r="384">
      <c r="F384" s="4">
        <f>IF(A384="","",IFERROR(VLOOKUP(A384,Categories!$A:$D,4,FALSE),""))</f>
        <v/>
      </c>
      <c r="G384" s="4">
        <f>IF(A384="","",IFERROR(VLOOKUP(A384,Categories!$A:$B,2,FALSE),"⚠️ Unknown category — Goldberg will ignore this row"))</f>
        <v/>
      </c>
    </row>
    <row r="385">
      <c r="F385" s="4">
        <f>IF(A385="","",IFERROR(VLOOKUP(A385,Categories!$A:$D,4,FALSE),""))</f>
        <v/>
      </c>
      <c r="G385" s="4">
        <f>IF(A385="","",IFERROR(VLOOKUP(A385,Categories!$A:$B,2,FALSE),"⚠️ Unknown category — Goldberg will ignore this row"))</f>
        <v/>
      </c>
    </row>
    <row r="386">
      <c r="F386" s="4">
        <f>IF(A386="","",IFERROR(VLOOKUP(A386,Categories!$A:$D,4,FALSE),""))</f>
        <v/>
      </c>
      <c r="G386" s="4">
        <f>IF(A386="","",IFERROR(VLOOKUP(A386,Categories!$A:$B,2,FALSE),"⚠️ Unknown category — Goldberg will ignore this row"))</f>
        <v/>
      </c>
    </row>
    <row r="387">
      <c r="F387" s="4">
        <f>IF(A387="","",IFERROR(VLOOKUP(A387,Categories!$A:$D,4,FALSE),""))</f>
        <v/>
      </c>
      <c r="G387" s="4">
        <f>IF(A387="","",IFERROR(VLOOKUP(A387,Categories!$A:$B,2,FALSE),"⚠️ Unknown category — Goldberg will ignore this row"))</f>
        <v/>
      </c>
    </row>
    <row r="388">
      <c r="F388" s="4">
        <f>IF(A388="","",IFERROR(VLOOKUP(A388,Categories!$A:$D,4,FALSE),""))</f>
        <v/>
      </c>
      <c r="G388" s="4">
        <f>IF(A388="","",IFERROR(VLOOKUP(A388,Categories!$A:$B,2,FALSE),"⚠️ Unknown category — Goldberg will ignore this row"))</f>
        <v/>
      </c>
    </row>
    <row r="389">
      <c r="F389" s="4">
        <f>IF(A389="","",IFERROR(VLOOKUP(A389,Categories!$A:$D,4,FALSE),""))</f>
        <v/>
      </c>
      <c r="G389" s="4">
        <f>IF(A389="","",IFERROR(VLOOKUP(A389,Categories!$A:$B,2,FALSE),"⚠️ Unknown category — Goldberg will ignore this row"))</f>
        <v/>
      </c>
    </row>
    <row r="390">
      <c r="F390" s="4">
        <f>IF(A390="","",IFERROR(VLOOKUP(A390,Categories!$A:$D,4,FALSE),""))</f>
        <v/>
      </c>
      <c r="G390" s="4">
        <f>IF(A390="","",IFERROR(VLOOKUP(A390,Categories!$A:$B,2,FALSE),"⚠️ Unknown category — Goldberg will ignore this row"))</f>
        <v/>
      </c>
    </row>
    <row r="391">
      <c r="F391" s="4">
        <f>IF(A391="","",IFERROR(VLOOKUP(A391,Categories!$A:$D,4,FALSE),""))</f>
        <v/>
      </c>
      <c r="G391" s="4">
        <f>IF(A391="","",IFERROR(VLOOKUP(A391,Categories!$A:$B,2,FALSE),"⚠️ Unknown category — Goldberg will ignore this row"))</f>
        <v/>
      </c>
    </row>
    <row r="392">
      <c r="F392" s="4">
        <f>IF(A392="","",IFERROR(VLOOKUP(A392,Categories!$A:$D,4,FALSE),""))</f>
        <v/>
      </c>
      <c r="G392" s="4">
        <f>IF(A392="","",IFERROR(VLOOKUP(A392,Categories!$A:$B,2,FALSE),"⚠️ Unknown category — Goldberg will ignore this row"))</f>
        <v/>
      </c>
    </row>
    <row r="393">
      <c r="F393" s="4">
        <f>IF(A393="","",IFERROR(VLOOKUP(A393,Categories!$A:$D,4,FALSE),""))</f>
        <v/>
      </c>
      <c r="G393" s="4">
        <f>IF(A393="","",IFERROR(VLOOKUP(A393,Categories!$A:$B,2,FALSE),"⚠️ Unknown category — Goldberg will ignore this row"))</f>
        <v/>
      </c>
    </row>
    <row r="394">
      <c r="F394" s="4">
        <f>IF(A394="","",IFERROR(VLOOKUP(A394,Categories!$A:$D,4,FALSE),""))</f>
        <v/>
      </c>
      <c r="G394" s="4">
        <f>IF(A394="","",IFERROR(VLOOKUP(A394,Categories!$A:$B,2,FALSE),"⚠️ Unknown category — Goldberg will ignore this row"))</f>
        <v/>
      </c>
    </row>
    <row r="395">
      <c r="F395" s="4">
        <f>IF(A395="","",IFERROR(VLOOKUP(A395,Categories!$A:$D,4,FALSE),""))</f>
        <v/>
      </c>
      <c r="G395" s="4">
        <f>IF(A395="","",IFERROR(VLOOKUP(A395,Categories!$A:$B,2,FALSE),"⚠️ Unknown category — Goldberg will ignore this row"))</f>
        <v/>
      </c>
    </row>
    <row r="396">
      <c r="F396" s="4">
        <f>IF(A396="","",IFERROR(VLOOKUP(A396,Categories!$A:$D,4,FALSE),""))</f>
        <v/>
      </c>
      <c r="G396" s="4">
        <f>IF(A396="","",IFERROR(VLOOKUP(A396,Categories!$A:$B,2,FALSE),"⚠️ Unknown category — Goldberg will ignore this row"))</f>
        <v/>
      </c>
    </row>
    <row r="397">
      <c r="F397" s="4">
        <f>IF(A397="","",IFERROR(VLOOKUP(A397,Categories!$A:$D,4,FALSE),""))</f>
        <v/>
      </c>
      <c r="G397" s="4">
        <f>IF(A397="","",IFERROR(VLOOKUP(A397,Categories!$A:$B,2,FALSE),"⚠️ Unknown category — Goldberg will ignore this row"))</f>
        <v/>
      </c>
    </row>
    <row r="398">
      <c r="F398" s="4">
        <f>IF(A398="","",IFERROR(VLOOKUP(A398,Categories!$A:$D,4,FALSE),""))</f>
        <v/>
      </c>
      <c r="G398" s="4">
        <f>IF(A398="","",IFERROR(VLOOKUP(A398,Categories!$A:$B,2,FALSE),"⚠️ Unknown category — Goldberg will ignore this row"))</f>
        <v/>
      </c>
    </row>
    <row r="399">
      <c r="F399" s="4">
        <f>IF(A399="","",IFERROR(VLOOKUP(A399,Categories!$A:$D,4,FALSE),""))</f>
        <v/>
      </c>
      <c r="G399" s="4">
        <f>IF(A399="","",IFERROR(VLOOKUP(A399,Categories!$A:$B,2,FALSE),"⚠️ Unknown category — Goldberg will ignore this row"))</f>
        <v/>
      </c>
    </row>
    <row r="400">
      <c r="F400" s="4">
        <f>IF(A400="","",IFERROR(VLOOKUP(A400,Categories!$A:$D,4,FALSE),""))</f>
        <v/>
      </c>
      <c r="G400" s="4">
        <f>IF(A400="","",IFERROR(VLOOKUP(A400,Categories!$A:$B,2,FALSE),"⚠️ Unknown category — Goldberg will ignore this row"))</f>
        <v/>
      </c>
    </row>
    <row r="401">
      <c r="F401" s="4">
        <f>IF(A401="","",IFERROR(VLOOKUP(A401,Categories!$A:$D,4,FALSE),""))</f>
        <v/>
      </c>
      <c r="G401" s="4">
        <f>IF(A401="","",IFERROR(VLOOKUP(A401,Categories!$A:$B,2,FALSE),"⚠️ Unknown category — Goldberg will ignore this row"))</f>
        <v/>
      </c>
    </row>
    <row r="402">
      <c r="F402" s="4">
        <f>IF(A402="","",IFERROR(VLOOKUP(A402,Categories!$A:$D,4,FALSE),""))</f>
        <v/>
      </c>
      <c r="G402" s="4">
        <f>IF(A402="","",IFERROR(VLOOKUP(A402,Categories!$A:$B,2,FALSE),"⚠️ Unknown category — Goldberg will ignore this row"))</f>
        <v/>
      </c>
    </row>
    <row r="403">
      <c r="F403" s="4">
        <f>IF(A403="","",IFERROR(VLOOKUP(A403,Categories!$A:$D,4,FALSE),""))</f>
        <v/>
      </c>
      <c r="G403" s="4">
        <f>IF(A403="","",IFERROR(VLOOKUP(A403,Categories!$A:$B,2,FALSE),"⚠️ Unknown category — Goldberg will ignore this row"))</f>
        <v/>
      </c>
    </row>
    <row r="404">
      <c r="F404" s="4">
        <f>IF(A404="","",IFERROR(VLOOKUP(A404,Categories!$A:$D,4,FALSE),""))</f>
        <v/>
      </c>
      <c r="G404" s="4">
        <f>IF(A404="","",IFERROR(VLOOKUP(A404,Categories!$A:$B,2,FALSE),"⚠️ Unknown category — Goldberg will ignore this row"))</f>
        <v/>
      </c>
    </row>
    <row r="405">
      <c r="F405" s="4">
        <f>IF(A405="","",IFERROR(VLOOKUP(A405,Categories!$A:$D,4,FALSE),""))</f>
        <v/>
      </c>
      <c r="G405" s="4">
        <f>IF(A405="","",IFERROR(VLOOKUP(A405,Categories!$A:$B,2,FALSE),"⚠️ Unknown category — Goldberg will ignore this row"))</f>
        <v/>
      </c>
    </row>
    <row r="406">
      <c r="F406" s="4">
        <f>IF(A406="","",IFERROR(VLOOKUP(A406,Categories!$A:$D,4,FALSE),""))</f>
        <v/>
      </c>
      <c r="G406" s="4">
        <f>IF(A406="","",IFERROR(VLOOKUP(A406,Categories!$A:$B,2,FALSE),"⚠️ Unknown category — Goldberg will ignore this row"))</f>
        <v/>
      </c>
    </row>
    <row r="407">
      <c r="F407" s="4">
        <f>IF(A407="","",IFERROR(VLOOKUP(A407,Categories!$A:$D,4,FALSE),""))</f>
        <v/>
      </c>
      <c r="G407" s="4">
        <f>IF(A407="","",IFERROR(VLOOKUP(A407,Categories!$A:$B,2,FALSE),"⚠️ Unknown category — Goldberg will ignore this row"))</f>
        <v/>
      </c>
    </row>
    <row r="408">
      <c r="F408" s="4">
        <f>IF(A408="","",IFERROR(VLOOKUP(A408,Categories!$A:$D,4,FALSE),""))</f>
        <v/>
      </c>
      <c r="G408" s="4">
        <f>IF(A408="","",IFERROR(VLOOKUP(A408,Categories!$A:$B,2,FALSE),"⚠️ Unknown category — Goldberg will ignore this row"))</f>
        <v/>
      </c>
    </row>
    <row r="409">
      <c r="F409" s="4">
        <f>IF(A409="","",IFERROR(VLOOKUP(A409,Categories!$A:$D,4,FALSE),""))</f>
        <v/>
      </c>
      <c r="G409" s="4">
        <f>IF(A409="","",IFERROR(VLOOKUP(A409,Categories!$A:$B,2,FALSE),"⚠️ Unknown category — Goldberg will ignore this row"))</f>
        <v/>
      </c>
    </row>
    <row r="410">
      <c r="F410" s="4">
        <f>IF(A410="","",IFERROR(VLOOKUP(A410,Categories!$A:$D,4,FALSE),""))</f>
        <v/>
      </c>
      <c r="G410" s="4">
        <f>IF(A410="","",IFERROR(VLOOKUP(A410,Categories!$A:$B,2,FALSE),"⚠️ Unknown category — Goldberg will ignore this row"))</f>
        <v/>
      </c>
    </row>
    <row r="411">
      <c r="F411" s="4">
        <f>IF(A411="","",IFERROR(VLOOKUP(A411,Categories!$A:$D,4,FALSE),""))</f>
        <v/>
      </c>
      <c r="G411" s="4">
        <f>IF(A411="","",IFERROR(VLOOKUP(A411,Categories!$A:$B,2,FALSE),"⚠️ Unknown category — Goldberg will ignore this row"))</f>
        <v/>
      </c>
    </row>
    <row r="412">
      <c r="F412" s="4">
        <f>IF(A412="","",IFERROR(VLOOKUP(A412,Categories!$A:$D,4,FALSE),""))</f>
        <v/>
      </c>
      <c r="G412" s="4">
        <f>IF(A412="","",IFERROR(VLOOKUP(A412,Categories!$A:$B,2,FALSE),"⚠️ Unknown category — Goldberg will ignore this row"))</f>
        <v/>
      </c>
    </row>
    <row r="413">
      <c r="F413" s="4">
        <f>IF(A413="","",IFERROR(VLOOKUP(A413,Categories!$A:$D,4,FALSE),""))</f>
        <v/>
      </c>
      <c r="G413" s="4">
        <f>IF(A413="","",IFERROR(VLOOKUP(A413,Categories!$A:$B,2,FALSE),"⚠️ Unknown category — Goldberg will ignore this row"))</f>
        <v/>
      </c>
    </row>
    <row r="414">
      <c r="F414" s="4">
        <f>IF(A414="","",IFERROR(VLOOKUP(A414,Categories!$A:$D,4,FALSE),""))</f>
        <v/>
      </c>
      <c r="G414" s="4">
        <f>IF(A414="","",IFERROR(VLOOKUP(A414,Categories!$A:$B,2,FALSE),"⚠️ Unknown category — Goldberg will ignore this row"))</f>
        <v/>
      </c>
    </row>
    <row r="415">
      <c r="F415" s="4">
        <f>IF(A415="","",IFERROR(VLOOKUP(A415,Categories!$A:$D,4,FALSE),""))</f>
        <v/>
      </c>
      <c r="G415" s="4">
        <f>IF(A415="","",IFERROR(VLOOKUP(A415,Categories!$A:$B,2,FALSE),"⚠️ Unknown category — Goldberg will ignore this row"))</f>
        <v/>
      </c>
    </row>
    <row r="416">
      <c r="F416" s="4">
        <f>IF(A416="","",IFERROR(VLOOKUP(A416,Categories!$A:$D,4,FALSE),""))</f>
        <v/>
      </c>
      <c r="G416" s="4">
        <f>IF(A416="","",IFERROR(VLOOKUP(A416,Categories!$A:$B,2,FALSE),"⚠️ Unknown category — Goldberg will ignore this row"))</f>
        <v/>
      </c>
    </row>
    <row r="417">
      <c r="F417" s="4">
        <f>IF(A417="","",IFERROR(VLOOKUP(A417,Categories!$A:$D,4,FALSE),""))</f>
        <v/>
      </c>
      <c r="G417" s="4">
        <f>IF(A417="","",IFERROR(VLOOKUP(A417,Categories!$A:$B,2,FALSE),"⚠️ Unknown category — Goldberg will ignore this row"))</f>
        <v/>
      </c>
    </row>
    <row r="418">
      <c r="F418" s="4">
        <f>IF(A418="","",IFERROR(VLOOKUP(A418,Categories!$A:$D,4,FALSE),""))</f>
        <v/>
      </c>
      <c r="G418" s="4">
        <f>IF(A418="","",IFERROR(VLOOKUP(A418,Categories!$A:$B,2,FALSE),"⚠️ Unknown category — Goldberg will ignore this row"))</f>
        <v/>
      </c>
    </row>
    <row r="419">
      <c r="F419" s="4">
        <f>IF(A419="","",IFERROR(VLOOKUP(A419,Categories!$A:$D,4,FALSE),""))</f>
        <v/>
      </c>
      <c r="G419" s="4">
        <f>IF(A419="","",IFERROR(VLOOKUP(A419,Categories!$A:$B,2,FALSE),"⚠️ Unknown category — Goldberg will ignore this row"))</f>
        <v/>
      </c>
    </row>
    <row r="420">
      <c r="F420" s="4">
        <f>IF(A420="","",IFERROR(VLOOKUP(A420,Categories!$A:$D,4,FALSE),""))</f>
        <v/>
      </c>
      <c r="G420" s="4">
        <f>IF(A420="","",IFERROR(VLOOKUP(A420,Categories!$A:$B,2,FALSE),"⚠️ Unknown category — Goldberg will ignore this row"))</f>
        <v/>
      </c>
    </row>
    <row r="421">
      <c r="F421" s="4">
        <f>IF(A421="","",IFERROR(VLOOKUP(A421,Categories!$A:$D,4,FALSE),""))</f>
        <v/>
      </c>
      <c r="G421" s="4">
        <f>IF(A421="","",IFERROR(VLOOKUP(A421,Categories!$A:$B,2,FALSE),"⚠️ Unknown category — Goldberg will ignore this row"))</f>
        <v/>
      </c>
    </row>
    <row r="422">
      <c r="F422" s="4">
        <f>IF(A422="","",IFERROR(VLOOKUP(A422,Categories!$A:$D,4,FALSE),""))</f>
        <v/>
      </c>
      <c r="G422" s="4">
        <f>IF(A422="","",IFERROR(VLOOKUP(A422,Categories!$A:$B,2,FALSE),"⚠️ Unknown category — Goldberg will ignore this row"))</f>
        <v/>
      </c>
    </row>
    <row r="423">
      <c r="F423" s="4">
        <f>IF(A423="","",IFERROR(VLOOKUP(A423,Categories!$A:$D,4,FALSE),""))</f>
        <v/>
      </c>
      <c r="G423" s="4">
        <f>IF(A423="","",IFERROR(VLOOKUP(A423,Categories!$A:$B,2,FALSE),"⚠️ Unknown category — Goldberg will ignore this row"))</f>
        <v/>
      </c>
    </row>
    <row r="424">
      <c r="F424" s="4">
        <f>IF(A424="","",IFERROR(VLOOKUP(A424,Categories!$A:$D,4,FALSE),""))</f>
        <v/>
      </c>
      <c r="G424" s="4">
        <f>IF(A424="","",IFERROR(VLOOKUP(A424,Categories!$A:$B,2,FALSE),"⚠️ Unknown category — Goldberg will ignore this row"))</f>
        <v/>
      </c>
    </row>
    <row r="425">
      <c r="F425" s="4">
        <f>IF(A425="","",IFERROR(VLOOKUP(A425,Categories!$A:$D,4,FALSE),""))</f>
        <v/>
      </c>
      <c r="G425" s="4">
        <f>IF(A425="","",IFERROR(VLOOKUP(A425,Categories!$A:$B,2,FALSE),"⚠️ Unknown category — Goldberg will ignore this row"))</f>
        <v/>
      </c>
    </row>
    <row r="426">
      <c r="F426" s="4">
        <f>IF(A426="","",IFERROR(VLOOKUP(A426,Categories!$A:$D,4,FALSE),""))</f>
        <v/>
      </c>
      <c r="G426" s="4">
        <f>IF(A426="","",IFERROR(VLOOKUP(A426,Categories!$A:$B,2,FALSE),"⚠️ Unknown category — Goldberg will ignore this row"))</f>
        <v/>
      </c>
    </row>
    <row r="427">
      <c r="F427" s="4">
        <f>IF(A427="","",IFERROR(VLOOKUP(A427,Categories!$A:$D,4,FALSE),""))</f>
        <v/>
      </c>
      <c r="G427" s="4">
        <f>IF(A427="","",IFERROR(VLOOKUP(A427,Categories!$A:$B,2,FALSE),"⚠️ Unknown category — Goldberg will ignore this row"))</f>
        <v/>
      </c>
    </row>
    <row r="428">
      <c r="F428" s="4">
        <f>IF(A428="","",IFERROR(VLOOKUP(A428,Categories!$A:$D,4,FALSE),""))</f>
        <v/>
      </c>
      <c r="G428" s="4">
        <f>IF(A428="","",IFERROR(VLOOKUP(A428,Categories!$A:$B,2,FALSE),"⚠️ Unknown category — Goldberg will ignore this row"))</f>
        <v/>
      </c>
    </row>
    <row r="429">
      <c r="F429" s="4">
        <f>IF(A429="","",IFERROR(VLOOKUP(A429,Categories!$A:$D,4,FALSE),""))</f>
        <v/>
      </c>
      <c r="G429" s="4">
        <f>IF(A429="","",IFERROR(VLOOKUP(A429,Categories!$A:$B,2,FALSE),"⚠️ Unknown category — Goldberg will ignore this row"))</f>
        <v/>
      </c>
    </row>
    <row r="430">
      <c r="F430" s="4">
        <f>IF(A430="","",IFERROR(VLOOKUP(A430,Categories!$A:$D,4,FALSE),""))</f>
        <v/>
      </c>
      <c r="G430" s="4">
        <f>IF(A430="","",IFERROR(VLOOKUP(A430,Categories!$A:$B,2,FALSE),"⚠️ Unknown category — Goldberg will ignore this row"))</f>
        <v/>
      </c>
    </row>
    <row r="431">
      <c r="F431" s="4">
        <f>IF(A431="","",IFERROR(VLOOKUP(A431,Categories!$A:$D,4,FALSE),""))</f>
        <v/>
      </c>
      <c r="G431" s="4">
        <f>IF(A431="","",IFERROR(VLOOKUP(A431,Categories!$A:$B,2,FALSE),"⚠️ Unknown category — Goldberg will ignore this row"))</f>
        <v/>
      </c>
    </row>
    <row r="432">
      <c r="F432" s="4">
        <f>IF(A432="","",IFERROR(VLOOKUP(A432,Categories!$A:$D,4,FALSE),""))</f>
        <v/>
      </c>
      <c r="G432" s="4">
        <f>IF(A432="","",IFERROR(VLOOKUP(A432,Categories!$A:$B,2,FALSE),"⚠️ Unknown category — Goldberg will ignore this row"))</f>
        <v/>
      </c>
    </row>
    <row r="433">
      <c r="F433" s="4">
        <f>IF(A433="","",IFERROR(VLOOKUP(A433,Categories!$A:$D,4,FALSE),""))</f>
        <v/>
      </c>
      <c r="G433" s="4">
        <f>IF(A433="","",IFERROR(VLOOKUP(A433,Categories!$A:$B,2,FALSE),"⚠️ Unknown category — Goldberg will ignore this row"))</f>
        <v/>
      </c>
    </row>
    <row r="434">
      <c r="F434" s="4">
        <f>IF(A434="","",IFERROR(VLOOKUP(A434,Categories!$A:$D,4,FALSE),""))</f>
        <v/>
      </c>
      <c r="G434" s="4">
        <f>IF(A434="","",IFERROR(VLOOKUP(A434,Categories!$A:$B,2,FALSE),"⚠️ Unknown category — Goldberg will ignore this row"))</f>
        <v/>
      </c>
    </row>
    <row r="435">
      <c r="F435" s="4">
        <f>IF(A435="","",IFERROR(VLOOKUP(A435,Categories!$A:$D,4,FALSE),""))</f>
        <v/>
      </c>
      <c r="G435" s="4">
        <f>IF(A435="","",IFERROR(VLOOKUP(A435,Categories!$A:$B,2,FALSE),"⚠️ Unknown category — Goldberg will ignore this row"))</f>
        <v/>
      </c>
    </row>
    <row r="436">
      <c r="F436" s="4">
        <f>IF(A436="","",IFERROR(VLOOKUP(A436,Categories!$A:$D,4,FALSE),""))</f>
        <v/>
      </c>
      <c r="G436" s="4">
        <f>IF(A436="","",IFERROR(VLOOKUP(A436,Categories!$A:$B,2,FALSE),"⚠️ Unknown category — Goldberg will ignore this row"))</f>
        <v/>
      </c>
    </row>
    <row r="437">
      <c r="F437" s="4">
        <f>IF(A437="","",IFERROR(VLOOKUP(A437,Categories!$A:$D,4,FALSE),""))</f>
        <v/>
      </c>
      <c r="G437" s="4">
        <f>IF(A437="","",IFERROR(VLOOKUP(A437,Categories!$A:$B,2,FALSE),"⚠️ Unknown category — Goldberg will ignore this row"))</f>
        <v/>
      </c>
    </row>
    <row r="438">
      <c r="F438" s="4">
        <f>IF(A438="","",IFERROR(VLOOKUP(A438,Categories!$A:$D,4,FALSE),""))</f>
        <v/>
      </c>
      <c r="G438" s="4">
        <f>IF(A438="","",IFERROR(VLOOKUP(A438,Categories!$A:$B,2,FALSE),"⚠️ Unknown category — Goldberg will ignore this row"))</f>
        <v/>
      </c>
    </row>
    <row r="439">
      <c r="F439" s="4">
        <f>IF(A439="","",IFERROR(VLOOKUP(A439,Categories!$A:$D,4,FALSE),""))</f>
        <v/>
      </c>
      <c r="G439" s="4">
        <f>IF(A439="","",IFERROR(VLOOKUP(A439,Categories!$A:$B,2,FALSE),"⚠️ Unknown category — Goldberg will ignore this row"))</f>
        <v/>
      </c>
    </row>
    <row r="440">
      <c r="F440" s="4">
        <f>IF(A440="","",IFERROR(VLOOKUP(A440,Categories!$A:$D,4,FALSE),""))</f>
        <v/>
      </c>
      <c r="G440" s="4">
        <f>IF(A440="","",IFERROR(VLOOKUP(A440,Categories!$A:$B,2,FALSE),"⚠️ Unknown category — Goldberg will ignore this row"))</f>
        <v/>
      </c>
    </row>
    <row r="441">
      <c r="F441" s="4">
        <f>IF(A441="","",IFERROR(VLOOKUP(A441,Categories!$A:$D,4,FALSE),""))</f>
        <v/>
      </c>
      <c r="G441" s="4">
        <f>IF(A441="","",IFERROR(VLOOKUP(A441,Categories!$A:$B,2,FALSE),"⚠️ Unknown category — Goldberg will ignore this row"))</f>
        <v/>
      </c>
    </row>
    <row r="442">
      <c r="F442" s="4">
        <f>IF(A442="","",IFERROR(VLOOKUP(A442,Categories!$A:$D,4,FALSE),""))</f>
        <v/>
      </c>
      <c r="G442" s="4">
        <f>IF(A442="","",IFERROR(VLOOKUP(A442,Categories!$A:$B,2,FALSE),"⚠️ Unknown category — Goldberg will ignore this row"))</f>
        <v/>
      </c>
    </row>
    <row r="443">
      <c r="F443" s="4">
        <f>IF(A443="","",IFERROR(VLOOKUP(A443,Categories!$A:$D,4,FALSE),""))</f>
        <v/>
      </c>
      <c r="G443" s="4">
        <f>IF(A443="","",IFERROR(VLOOKUP(A443,Categories!$A:$B,2,FALSE),"⚠️ Unknown category — Goldberg will ignore this row"))</f>
        <v/>
      </c>
    </row>
    <row r="444">
      <c r="F444" s="4">
        <f>IF(A444="","",IFERROR(VLOOKUP(A444,Categories!$A:$D,4,FALSE),""))</f>
        <v/>
      </c>
      <c r="G444" s="4">
        <f>IF(A444="","",IFERROR(VLOOKUP(A444,Categories!$A:$B,2,FALSE),"⚠️ Unknown category — Goldberg will ignore this row"))</f>
        <v/>
      </c>
    </row>
    <row r="445">
      <c r="F445" s="4">
        <f>IF(A445="","",IFERROR(VLOOKUP(A445,Categories!$A:$D,4,FALSE),""))</f>
        <v/>
      </c>
      <c r="G445" s="4">
        <f>IF(A445="","",IFERROR(VLOOKUP(A445,Categories!$A:$B,2,FALSE),"⚠️ Unknown category — Goldberg will ignore this row"))</f>
        <v/>
      </c>
    </row>
    <row r="446">
      <c r="F446" s="4">
        <f>IF(A446="","",IFERROR(VLOOKUP(A446,Categories!$A:$D,4,FALSE),""))</f>
        <v/>
      </c>
      <c r="G446" s="4">
        <f>IF(A446="","",IFERROR(VLOOKUP(A446,Categories!$A:$B,2,FALSE),"⚠️ Unknown category — Goldberg will ignore this row"))</f>
        <v/>
      </c>
    </row>
    <row r="447">
      <c r="F447" s="4">
        <f>IF(A447="","",IFERROR(VLOOKUP(A447,Categories!$A:$D,4,FALSE),""))</f>
        <v/>
      </c>
      <c r="G447" s="4">
        <f>IF(A447="","",IFERROR(VLOOKUP(A447,Categories!$A:$B,2,FALSE),"⚠️ Unknown category — Goldberg will ignore this row"))</f>
        <v/>
      </c>
    </row>
    <row r="448">
      <c r="F448" s="4">
        <f>IF(A448="","",IFERROR(VLOOKUP(A448,Categories!$A:$D,4,FALSE),""))</f>
        <v/>
      </c>
      <c r="G448" s="4">
        <f>IF(A448="","",IFERROR(VLOOKUP(A448,Categories!$A:$B,2,FALSE),"⚠️ Unknown category — Goldberg will ignore this row"))</f>
        <v/>
      </c>
    </row>
    <row r="449">
      <c r="F449" s="4">
        <f>IF(A449="","",IFERROR(VLOOKUP(A449,Categories!$A:$D,4,FALSE),""))</f>
        <v/>
      </c>
      <c r="G449" s="4">
        <f>IF(A449="","",IFERROR(VLOOKUP(A449,Categories!$A:$B,2,FALSE),"⚠️ Unknown category — Goldberg will ignore this row"))</f>
        <v/>
      </c>
    </row>
    <row r="450">
      <c r="F450" s="4">
        <f>IF(A450="","",IFERROR(VLOOKUP(A450,Categories!$A:$D,4,FALSE),""))</f>
        <v/>
      </c>
      <c r="G450" s="4">
        <f>IF(A450="","",IFERROR(VLOOKUP(A450,Categories!$A:$B,2,FALSE),"⚠️ Unknown category — Goldberg will ignore this row"))</f>
        <v/>
      </c>
    </row>
    <row r="451">
      <c r="F451" s="4">
        <f>IF(A451="","",IFERROR(VLOOKUP(A451,Categories!$A:$D,4,FALSE),""))</f>
        <v/>
      </c>
      <c r="G451" s="4">
        <f>IF(A451="","",IFERROR(VLOOKUP(A451,Categories!$A:$B,2,FALSE),"⚠️ Unknown category — Goldberg will ignore this row"))</f>
        <v/>
      </c>
    </row>
    <row r="452">
      <c r="F452" s="4">
        <f>IF(A452="","",IFERROR(VLOOKUP(A452,Categories!$A:$D,4,FALSE),""))</f>
        <v/>
      </c>
      <c r="G452" s="4">
        <f>IF(A452="","",IFERROR(VLOOKUP(A452,Categories!$A:$B,2,FALSE),"⚠️ Unknown category — Goldberg will ignore this row"))</f>
        <v/>
      </c>
    </row>
    <row r="453">
      <c r="F453" s="4">
        <f>IF(A453="","",IFERROR(VLOOKUP(A453,Categories!$A:$D,4,FALSE),""))</f>
        <v/>
      </c>
      <c r="G453" s="4">
        <f>IF(A453="","",IFERROR(VLOOKUP(A453,Categories!$A:$B,2,FALSE),"⚠️ Unknown category — Goldberg will ignore this row"))</f>
        <v/>
      </c>
    </row>
    <row r="454">
      <c r="F454" s="4">
        <f>IF(A454="","",IFERROR(VLOOKUP(A454,Categories!$A:$D,4,FALSE),""))</f>
        <v/>
      </c>
      <c r="G454" s="4">
        <f>IF(A454="","",IFERROR(VLOOKUP(A454,Categories!$A:$B,2,FALSE),"⚠️ Unknown category — Goldberg will ignore this row"))</f>
        <v/>
      </c>
    </row>
    <row r="455">
      <c r="F455" s="4">
        <f>IF(A455="","",IFERROR(VLOOKUP(A455,Categories!$A:$D,4,FALSE),""))</f>
        <v/>
      </c>
      <c r="G455" s="4">
        <f>IF(A455="","",IFERROR(VLOOKUP(A455,Categories!$A:$B,2,FALSE),"⚠️ Unknown category — Goldberg will ignore this row"))</f>
        <v/>
      </c>
    </row>
    <row r="456">
      <c r="F456" s="4">
        <f>IF(A456="","",IFERROR(VLOOKUP(A456,Categories!$A:$D,4,FALSE),""))</f>
        <v/>
      </c>
      <c r="G456" s="4">
        <f>IF(A456="","",IFERROR(VLOOKUP(A456,Categories!$A:$B,2,FALSE),"⚠️ Unknown category — Goldberg will ignore this row"))</f>
        <v/>
      </c>
    </row>
    <row r="457">
      <c r="F457" s="4">
        <f>IF(A457="","",IFERROR(VLOOKUP(A457,Categories!$A:$D,4,FALSE),""))</f>
        <v/>
      </c>
      <c r="G457" s="4">
        <f>IF(A457="","",IFERROR(VLOOKUP(A457,Categories!$A:$B,2,FALSE),"⚠️ Unknown category — Goldberg will ignore this row"))</f>
        <v/>
      </c>
    </row>
    <row r="458">
      <c r="F458" s="4">
        <f>IF(A458="","",IFERROR(VLOOKUP(A458,Categories!$A:$D,4,FALSE),""))</f>
        <v/>
      </c>
      <c r="G458" s="4">
        <f>IF(A458="","",IFERROR(VLOOKUP(A458,Categories!$A:$B,2,FALSE),"⚠️ Unknown category — Goldberg will ignore this row"))</f>
        <v/>
      </c>
    </row>
    <row r="459">
      <c r="F459" s="4">
        <f>IF(A459="","",IFERROR(VLOOKUP(A459,Categories!$A:$D,4,FALSE),""))</f>
        <v/>
      </c>
      <c r="G459" s="4">
        <f>IF(A459="","",IFERROR(VLOOKUP(A459,Categories!$A:$B,2,FALSE),"⚠️ Unknown category — Goldberg will ignore this row"))</f>
        <v/>
      </c>
    </row>
    <row r="460">
      <c r="F460" s="4">
        <f>IF(A460="","",IFERROR(VLOOKUP(A460,Categories!$A:$D,4,FALSE),""))</f>
        <v/>
      </c>
      <c r="G460" s="4">
        <f>IF(A460="","",IFERROR(VLOOKUP(A460,Categories!$A:$B,2,FALSE),"⚠️ Unknown category — Goldberg will ignore this row"))</f>
        <v/>
      </c>
    </row>
    <row r="461">
      <c r="F461" s="4">
        <f>IF(A461="","",IFERROR(VLOOKUP(A461,Categories!$A:$D,4,FALSE),""))</f>
        <v/>
      </c>
      <c r="G461" s="4">
        <f>IF(A461="","",IFERROR(VLOOKUP(A461,Categories!$A:$B,2,FALSE),"⚠️ Unknown category — Goldberg will ignore this row"))</f>
        <v/>
      </c>
    </row>
    <row r="462">
      <c r="F462" s="4">
        <f>IF(A462="","",IFERROR(VLOOKUP(A462,Categories!$A:$D,4,FALSE),""))</f>
        <v/>
      </c>
      <c r="G462" s="4">
        <f>IF(A462="","",IFERROR(VLOOKUP(A462,Categories!$A:$B,2,FALSE),"⚠️ Unknown category — Goldberg will ignore this row"))</f>
        <v/>
      </c>
    </row>
    <row r="463">
      <c r="F463" s="4">
        <f>IF(A463="","",IFERROR(VLOOKUP(A463,Categories!$A:$D,4,FALSE),""))</f>
        <v/>
      </c>
      <c r="G463" s="4">
        <f>IF(A463="","",IFERROR(VLOOKUP(A463,Categories!$A:$B,2,FALSE),"⚠️ Unknown category — Goldberg will ignore this row"))</f>
        <v/>
      </c>
    </row>
    <row r="464">
      <c r="F464" s="4">
        <f>IF(A464="","",IFERROR(VLOOKUP(A464,Categories!$A:$D,4,FALSE),""))</f>
        <v/>
      </c>
      <c r="G464" s="4">
        <f>IF(A464="","",IFERROR(VLOOKUP(A464,Categories!$A:$B,2,FALSE),"⚠️ Unknown category — Goldberg will ignore this row"))</f>
        <v/>
      </c>
    </row>
    <row r="465">
      <c r="F465" s="4">
        <f>IF(A465="","",IFERROR(VLOOKUP(A465,Categories!$A:$D,4,FALSE),""))</f>
        <v/>
      </c>
      <c r="G465" s="4">
        <f>IF(A465="","",IFERROR(VLOOKUP(A465,Categories!$A:$B,2,FALSE),"⚠️ Unknown category — Goldberg will ignore this row"))</f>
        <v/>
      </c>
    </row>
    <row r="466">
      <c r="F466" s="4">
        <f>IF(A466="","",IFERROR(VLOOKUP(A466,Categories!$A:$D,4,FALSE),""))</f>
        <v/>
      </c>
      <c r="G466" s="4">
        <f>IF(A466="","",IFERROR(VLOOKUP(A466,Categories!$A:$B,2,FALSE),"⚠️ Unknown category — Goldberg will ignore this row"))</f>
        <v/>
      </c>
    </row>
    <row r="467">
      <c r="F467" s="4">
        <f>IF(A467="","",IFERROR(VLOOKUP(A467,Categories!$A:$D,4,FALSE),""))</f>
        <v/>
      </c>
      <c r="G467" s="4">
        <f>IF(A467="","",IFERROR(VLOOKUP(A467,Categories!$A:$B,2,FALSE),"⚠️ Unknown category — Goldberg will ignore this row"))</f>
        <v/>
      </c>
    </row>
    <row r="468">
      <c r="F468" s="4">
        <f>IF(A468="","",IFERROR(VLOOKUP(A468,Categories!$A:$D,4,FALSE),""))</f>
        <v/>
      </c>
      <c r="G468" s="4">
        <f>IF(A468="","",IFERROR(VLOOKUP(A468,Categories!$A:$B,2,FALSE),"⚠️ Unknown category — Goldberg will ignore this row"))</f>
        <v/>
      </c>
    </row>
    <row r="469">
      <c r="F469" s="4">
        <f>IF(A469="","",IFERROR(VLOOKUP(A469,Categories!$A:$D,4,FALSE),""))</f>
        <v/>
      </c>
      <c r="G469" s="4">
        <f>IF(A469="","",IFERROR(VLOOKUP(A469,Categories!$A:$B,2,FALSE),"⚠️ Unknown category — Goldberg will ignore this row"))</f>
        <v/>
      </c>
    </row>
    <row r="470">
      <c r="F470" s="4">
        <f>IF(A470="","",IFERROR(VLOOKUP(A470,Categories!$A:$D,4,FALSE),""))</f>
        <v/>
      </c>
      <c r="G470" s="4">
        <f>IF(A470="","",IFERROR(VLOOKUP(A470,Categories!$A:$B,2,FALSE),"⚠️ Unknown category — Goldberg will ignore this row"))</f>
        <v/>
      </c>
    </row>
    <row r="471">
      <c r="F471" s="4">
        <f>IF(A471="","",IFERROR(VLOOKUP(A471,Categories!$A:$D,4,FALSE),""))</f>
        <v/>
      </c>
      <c r="G471" s="4">
        <f>IF(A471="","",IFERROR(VLOOKUP(A471,Categories!$A:$B,2,FALSE),"⚠️ Unknown category — Goldberg will ignore this row"))</f>
        <v/>
      </c>
    </row>
    <row r="472">
      <c r="F472" s="4">
        <f>IF(A472="","",IFERROR(VLOOKUP(A472,Categories!$A:$D,4,FALSE),""))</f>
        <v/>
      </c>
      <c r="G472" s="4">
        <f>IF(A472="","",IFERROR(VLOOKUP(A472,Categories!$A:$B,2,FALSE),"⚠️ Unknown category — Goldberg will ignore this row"))</f>
        <v/>
      </c>
    </row>
    <row r="473">
      <c r="F473" s="4">
        <f>IF(A473="","",IFERROR(VLOOKUP(A473,Categories!$A:$D,4,FALSE),""))</f>
        <v/>
      </c>
      <c r="G473" s="4">
        <f>IF(A473="","",IFERROR(VLOOKUP(A473,Categories!$A:$B,2,FALSE),"⚠️ Unknown category — Goldberg will ignore this row"))</f>
        <v/>
      </c>
    </row>
    <row r="474">
      <c r="F474" s="4">
        <f>IF(A474="","",IFERROR(VLOOKUP(A474,Categories!$A:$D,4,FALSE),""))</f>
        <v/>
      </c>
      <c r="G474" s="4">
        <f>IF(A474="","",IFERROR(VLOOKUP(A474,Categories!$A:$B,2,FALSE),"⚠️ Unknown category — Goldberg will ignore this row"))</f>
        <v/>
      </c>
    </row>
    <row r="475">
      <c r="F475" s="4">
        <f>IF(A475="","",IFERROR(VLOOKUP(A475,Categories!$A:$D,4,FALSE),""))</f>
        <v/>
      </c>
      <c r="G475" s="4">
        <f>IF(A475="","",IFERROR(VLOOKUP(A475,Categories!$A:$B,2,FALSE),"⚠️ Unknown category — Goldberg will ignore this row"))</f>
        <v/>
      </c>
    </row>
  </sheetData>
  <autoFilter ref="A1:G475"/>
  <dataValidations count="2">
    <dataValidation sqref="A2:A475" showDropDown="0" showInputMessage="0" showErrorMessage="0" allowBlank="1" errorTitle="Unknown category" error="Pick a category from the list (see the Categories tab)." type="list">
      <formula1>=Categories!$A$2:$A$47</formula1>
    </dataValidation>
    <dataValidation sqref="C2:C475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  <col width="26" customWidth="1" min="3" max="3"/>
    <col width="30" customWidth="1" min="4" max="4"/>
    <col width="36" customWidth="1" min="5" max="5"/>
    <col width="13" customWidth="1" min="6" max="6"/>
  </cols>
  <sheetData>
    <row r="1">
      <c r="A1" s="3" t="inlineStr">
        <is>
          <t>Category</t>
        </is>
      </c>
      <c r="B1" s="3" t="inlineStr">
        <is>
          <t>Where Goldberg uses it</t>
        </is>
      </c>
      <c r="C1" s="3" t="inlineStr">
        <is>
          <t>Placeholders you can use</t>
        </is>
      </c>
      <c r="D1" s="3" t="inlineStr">
        <is>
          <t>Tone</t>
        </is>
      </c>
      <c r="E1" s="3" t="inlineStr">
        <is>
          <t>Goal</t>
        </is>
      </c>
      <c r="F1" s="3" t="inlineStr">
        <is>
          <t>Active lines</t>
        </is>
      </c>
    </row>
    <row r="2">
      <c r="A2" s="4" t="inlineStr">
        <is>
          <t>bully.first_mention</t>
        </is>
      </c>
      <c r="B2" s="4" t="inlineStr">
        <is>
          <t>Reply the very first time someone @mentions Goldberg.</t>
        </is>
      </c>
      <c r="C2" s="4" t="inlineStr">
        <is>
          <t>{mention}</t>
        </is>
      </c>
      <c r="D2" s="4" t="inlineStr">
        <is>
          <t>Mock-friendly / faux-helpful</t>
        </is>
      </c>
      <c r="E2" s="4" t="inlineStr">
        <is>
          <t>Onboard a new user with a wink</t>
        </is>
      </c>
      <c r="F2" s="4">
        <f>COUNTIFS(Lines!$A:$A,A2,Lines!$C:$C,TRUE)</f>
        <v/>
      </c>
    </row>
    <row r="3">
      <c r="A3" s="4" t="inlineStr">
        <is>
          <t>bully.mention_insult</t>
        </is>
      </c>
      <c r="B3" s="4" t="inlineStr">
        <is>
          <t>Reply every time after that when someone @mentions Goldberg.</t>
        </is>
      </c>
      <c r="C3" s="4" t="inlineStr">
        <is>
          <t>{mention}</t>
        </is>
      </c>
      <c r="D3" s="4" t="inlineStr">
        <is>
          <t>Escalating insult, exasperated</t>
        </is>
      </c>
      <c r="E3" s="4" t="inlineStr">
        <is>
          <t>Roast over-reliance; comedic</t>
        </is>
      </c>
      <c r="F3" s="4">
        <f>COUNTIFS(Lines!$A:$A,A3,Lines!$C:$C,TRUE)</f>
        <v/>
      </c>
    </row>
    <row r="4">
      <c r="A4" s="4" t="inlineStr">
        <is>
          <t>bully.random_reply</t>
        </is>
      </c>
      <c r="B4" s="4" t="inlineStr">
        <is>
          <t>Rare (0.5%) random reply to any message in a bully channel.</t>
        </is>
      </c>
      <c r="C4" s="4" t="inlineStr">
        <is>
          <t>{mention} (optional)</t>
        </is>
      </c>
      <c r="D4" s="4" t="inlineStr">
        <is>
          <t>Dismissive one-liner</t>
        </is>
      </c>
      <c r="E4" s="4" t="inlineStr">
        <is>
          <t>Ambient chaos / feel his presence</t>
        </is>
      </c>
      <c r="F4" s="4">
        <f>COUNTIFS(Lines!$A:$A,A4,Lines!$C:$C,TRUE)</f>
        <v/>
      </c>
    </row>
    <row r="5">
      <c r="A5" s="4" t="inlineStr">
        <is>
          <t>bully.name_drop</t>
        </is>
      </c>
      <c r="B5" s="4" t="inlineStr">
        <is>
          <t>Someone types 'Goldberg' as plain text (no @). 15% chance, at most once per channel every 30s.</t>
        </is>
      </c>
      <c r="C5" s="4" t="inlineStr">
        <is>
          <t>{mention}</t>
        </is>
      </c>
      <c r="D5" s="4" t="inlineStr">
        <is>
          <t>Attention-seeking, smug</t>
        </is>
      </c>
      <c r="E5" s="4" t="inlineStr">
        <is>
          <t>React to being talked about</t>
        </is>
      </c>
      <c r="F5" s="4">
        <f>COUNTIFS(Lines!$A:$A,A5,Lines!$C:$C,TRUE)</f>
        <v/>
      </c>
    </row>
    <row r="6">
      <c r="A6" s="4" t="inlineStr">
        <is>
          <t>bully.shutup</t>
        </is>
      </c>
      <c r="B6" s="4" t="inlineStr">
        <is>
          <t>/shutup — he's offended, but he goes quiet.</t>
        </is>
      </c>
      <c r="C6" s="4" t="inlineStr">
        <is>
          <t>{duration}, {mention}</t>
        </is>
      </c>
      <c r="D6" s="4" t="inlineStr">
        <is>
          <t>Offended but compliant</t>
        </is>
      </c>
      <c r="E6" s="4" t="inlineStr">
        <is>
          <t>Confirm he's muted and for how long</t>
        </is>
      </c>
      <c r="F6" s="4">
        <f>COUNTIFS(Lines!$A:$A,A6,Lines!$C:$C,TRUE)</f>
        <v/>
      </c>
    </row>
    <row r="7">
      <c r="A7" s="4" t="inlineStr">
        <is>
          <t>bully.wakeup</t>
        </is>
      </c>
      <c r="B7" s="4" t="inlineStr">
        <is>
          <t>/wakeup — ends an active /shutup early.</t>
        </is>
      </c>
      <c r="C7" s="4" t="inlineStr">
        <is>
          <t>{mention}</t>
        </is>
      </c>
      <c r="D7" s="4" t="inlineStr">
        <is>
          <t>Smug, triumphant</t>
        </is>
      </c>
      <c r="E7" s="4" t="inlineStr">
        <is>
          <t>Announce he's back</t>
        </is>
      </c>
      <c r="F7" s="4">
        <f>COUNTIFS(Lines!$A:$A,A7,Lines!$C:$C,TRUE)</f>
        <v/>
      </c>
    </row>
    <row r="8">
      <c r="A8" s="4" t="inlineStr">
        <is>
          <t>bully.already_awake</t>
        </is>
      </c>
      <c r="B8" s="4" t="inlineStr">
        <is>
          <t>/wakeup when he isn't muted (only the person who ran it sees this).</t>
        </is>
      </c>
      <c r="C8" s="4" t="inlineStr">
        <is>
          <t>{mention}</t>
        </is>
      </c>
      <c r="D8" s="4" t="inlineStr">
        <is>
          <t>Dry</t>
        </is>
      </c>
      <c r="E8" s="4" t="inlineStr">
        <is>
          <t>Say there's nothing to wake up</t>
        </is>
      </c>
      <c r="F8" s="4">
        <f>COUNTIFS(Lines!$A:$A,A8,Lines!$C:$C,TRUE)</f>
        <v/>
      </c>
    </row>
    <row r="9">
      <c r="A9" s="4" t="inlineStr">
        <is>
          <t>joke</t>
        </is>
      </c>
      <c r="B9" s="4" t="inlineStr">
        <is>
          <t>/joke</t>
        </is>
      </c>
      <c r="C9" s="4" t="inlineStr">
        <is>
          <t>(none)</t>
        </is>
      </c>
      <c r="D9" s="4" t="inlineStr">
        <is>
          <t>Dev humor with a light jab</t>
        </is>
      </c>
      <c r="E9" s="4" t="inlineStr">
        <is>
          <t>Entertain</t>
        </is>
      </c>
      <c r="F9" s="4">
        <f>COUNTIFS(Lines!$A:$A,A9,Lines!$C:$C,TRUE)</f>
        <v/>
      </c>
    </row>
    <row r="10">
      <c r="A10" s="4" t="inlineStr">
        <is>
          <t>hello</t>
        </is>
      </c>
      <c r="B10" s="4" t="inlineStr">
        <is>
          <t>/hello</t>
        </is>
      </c>
      <c r="C10" s="4" t="inlineStr">
        <is>
          <t>{mention}</t>
        </is>
      </c>
      <c r="D10" s="4" t="inlineStr">
        <is>
          <t>Reluctant greeting</t>
        </is>
      </c>
      <c r="E10" s="4" t="inlineStr">
        <is>
          <t>Greet a user</t>
        </is>
      </c>
      <c r="F10" s="4">
        <f>COUNTIFS(Lines!$A:$A,A10,Lines!$C:$C,TRUE)</f>
        <v/>
      </c>
    </row>
    <row r="11">
      <c r="A11" s="4" t="inlineStr">
        <is>
          <t>devs_only</t>
        </is>
      </c>
      <c r="B11" s="4" t="inlineStr">
        <is>
          <t>Shown when a non-dev uses a dev-only command (/documentation, /help, /repo, /officehours, /schedule, /sprint_board, /my_tasks, /takenotes, /stopnotes).</t>
        </is>
      </c>
      <c r="C11" s="4" t="inlineStr">
        <is>
          <t>(none)</t>
        </is>
      </c>
      <c r="D11" s="4" t="inlineStr">
        <is>
          <t>Gatekeeping, cool</t>
        </is>
      </c>
      <c r="E11" s="4" t="inlineStr">
        <is>
          <t>Turn away non-devs</t>
        </is>
      </c>
      <c r="F11" s="4">
        <f>COUNTIFS(Lines!$A:$A,A11,Lines!$C:$C,TRUE)</f>
        <v/>
      </c>
    </row>
    <row r="12">
      <c r="A12" s="4" t="inlineStr">
        <is>
          <t>builds.no_role</t>
        </is>
      </c>
      <c r="B12" s="4" t="inlineStr">
        <is>
          <t>/builds when the user has neither the dev nor tester role.</t>
        </is>
      </c>
      <c r="C12" s="4" t="inlineStr">
        <is>
          <t>(none)</t>
        </is>
      </c>
      <c r="D12" s="4" t="inlineStr">
        <is>
          <t>Gatekeeping, cool</t>
        </is>
      </c>
      <c r="E12" s="4" t="inlineStr">
        <is>
          <t>Turn away people without access</t>
        </is>
      </c>
      <c r="F12" s="4">
        <f>COUNTIFS(Lines!$A:$A,A12,Lines!$C:$C,TRUE)</f>
        <v/>
      </c>
    </row>
    <row r="13">
      <c r="A13" s="4" t="inlineStr">
        <is>
          <t>socials.description</t>
        </is>
      </c>
      <c r="B13" s="4" t="inlineStr">
        <is>
          <t>/socials embed description.</t>
        </is>
      </c>
      <c r="C13" s="4" t="inlineStr">
        <is>
          <t>(none)</t>
        </is>
      </c>
      <c r="D13" s="4" t="inlineStr">
        <is>
          <t>Reluctant promoter</t>
        </is>
      </c>
      <c r="E13" s="4" t="inlineStr">
        <is>
          <t>Introduce the links</t>
        </is>
      </c>
      <c r="F13" s="4">
        <f>COUNTIFS(Lines!$A:$A,A13,Lines!$C:$C,TRUE)</f>
        <v/>
      </c>
    </row>
    <row r="14">
      <c r="A14" s="4" t="inlineStr">
        <is>
          <t>socials.website</t>
        </is>
      </c>
      <c r="B14" s="4" t="inlineStr">
        <is>
          <t>/socials tagline after the website link (only used when the wiki's Socials links are empty).</t>
        </is>
      </c>
      <c r="C14" s="4" t="inlineStr">
        <is>
          <t>(none)</t>
        </is>
      </c>
      <c r="D14" s="4" t="inlineStr">
        <is>
          <t>Deadpan</t>
        </is>
      </c>
      <c r="E14" s="4" t="inlineStr">
        <is>
          <t>One-line tagline</t>
        </is>
      </c>
      <c r="F14" s="4">
        <f>COUNTIFS(Lines!$A:$A,A14,Lines!$C:$C,TRUE)</f>
        <v/>
      </c>
    </row>
    <row r="15">
      <c r="A15" s="4" t="inlineStr">
        <is>
          <t>socials.instagram</t>
        </is>
      </c>
      <c r="B15" s="4" t="inlineStr">
        <is>
          <t>/socials tagline after the Instagram link (only used when the wiki's Socials links are empty).</t>
        </is>
      </c>
      <c r="C15" s="4" t="inlineStr">
        <is>
          <t>(none)</t>
        </is>
      </c>
      <c r="D15" s="4" t="inlineStr">
        <is>
          <t>Deadpan</t>
        </is>
      </c>
      <c r="E15" s="4" t="inlineStr">
        <is>
          <t>One-line tagline</t>
        </is>
      </c>
      <c r="F15" s="4">
        <f>COUNTIFS(Lines!$A:$A,A15,Lines!$C:$C,TRUE)</f>
        <v/>
      </c>
    </row>
    <row r="16">
      <c r="A16" s="4" t="inlineStr">
        <is>
          <t>socials.youtube</t>
        </is>
      </c>
      <c r="B16" s="4" t="inlineStr">
        <is>
          <t>/socials tagline after the YouTube link (only used when the wiki's Socials links are empty).</t>
        </is>
      </c>
      <c r="C16" s="4" t="inlineStr">
        <is>
          <t>(none)</t>
        </is>
      </c>
      <c r="D16" s="4" t="inlineStr">
        <is>
          <t>Deadpan</t>
        </is>
      </c>
      <c r="E16" s="4" t="inlineStr">
        <is>
          <t>One-line tagline</t>
        </is>
      </c>
      <c r="F16" s="4">
        <f>COUNTIFS(Lines!$A:$A,A16,Lines!$C:$C,TRUE)</f>
        <v/>
      </c>
    </row>
    <row r="17">
      <c r="A17" s="4" t="inlineStr">
        <is>
          <t>socials.patreon</t>
        </is>
      </c>
      <c r="B17" s="4" t="inlineStr">
        <is>
          <t>/socials tagline after the Patreon link (only used when the wiki's Socials links are empty).</t>
        </is>
      </c>
      <c r="C17" s="4" t="inlineStr">
        <is>
          <t>(none)</t>
        </is>
      </c>
      <c r="D17" s="4" t="inlineStr">
        <is>
          <t>Deadpan</t>
        </is>
      </c>
      <c r="E17" s="4" t="inlineStr">
        <is>
          <t>One-line tagline</t>
        </is>
      </c>
      <c r="F17" s="4">
        <f>COUNTIFS(Lines!$A:$A,A17,Lines!$C:$C,TRUE)</f>
        <v/>
      </c>
    </row>
    <row r="18">
      <c r="A18" s="4" t="inlineStr">
        <is>
          <t>socials.linkedin</t>
        </is>
      </c>
      <c r="B18" s="4" t="inlineStr">
        <is>
          <t>/socials tagline after the LinkedIn link (only used when the wiki's Socials links are empty).</t>
        </is>
      </c>
      <c r="C18" s="4" t="inlineStr">
        <is>
          <t>(none)</t>
        </is>
      </c>
      <c r="D18" s="4" t="inlineStr">
        <is>
          <t>Deadpan</t>
        </is>
      </c>
      <c r="E18" s="4" t="inlineStr">
        <is>
          <t>One-line tagline</t>
        </is>
      </c>
      <c r="F18" s="4">
        <f>COUNTIFS(Lines!$A:$A,A18,Lines!$C:$C,TRUE)</f>
        <v/>
      </c>
    </row>
    <row r="19">
      <c r="A19" s="4" t="inlineStr">
        <is>
          <t>socials.footer</t>
        </is>
      </c>
      <c r="B19" s="4" t="inlineStr">
        <is>
          <t>/socials embed footer.</t>
        </is>
      </c>
      <c r="C19" s="4" t="inlineStr">
        <is>
          <t>(none)</t>
        </is>
      </c>
      <c r="D19" s="4" t="inlineStr">
        <is>
          <t>Indifferent</t>
        </is>
      </c>
      <c r="E19" s="4" t="inlineStr">
        <is>
          <t>Sign off</t>
        </is>
      </c>
      <c r="F19" s="4">
        <f>COUNTIFS(Lines!$A:$A,A19,Lines!$C:$C,TRUE)</f>
        <v/>
      </c>
    </row>
    <row r="20">
      <c r="A20" s="4" t="inlineStr">
        <is>
          <t>documentation.description</t>
        </is>
      </c>
      <c r="B20" s="4" t="inlineStr">
        <is>
          <t>/documentation embed description.</t>
        </is>
      </c>
      <c r="C20" s="4" t="inlineStr">
        <is>
          <t>(none)</t>
        </is>
      </c>
      <c r="D20" s="4" t="inlineStr">
        <is>
          <t>No-excuses</t>
        </is>
      </c>
      <c r="E20" s="4" t="inlineStr">
        <is>
          <t>Introduce the docs</t>
        </is>
      </c>
      <c r="F20" s="4">
        <f>COUNTIFS(Lines!$A:$A,A20,Lines!$C:$C,TRUE)</f>
        <v/>
      </c>
    </row>
    <row r="21">
      <c r="A21" s="4" t="inlineStr">
        <is>
          <t>documentation.figma</t>
        </is>
      </c>
      <c r="B21" s="4" t="inlineStr">
        <is>
          <t>/documentation tagline after the Figma link.</t>
        </is>
      </c>
      <c r="C21" s="4" t="inlineStr">
        <is>
          <t>(none)</t>
        </is>
      </c>
      <c r="D21" s="4" t="inlineStr">
        <is>
          <t>Deadpan</t>
        </is>
      </c>
      <c r="E21" s="4" t="inlineStr">
        <is>
          <t>One-line tagline</t>
        </is>
      </c>
      <c r="F21" s="4">
        <f>COUNTIFS(Lines!$A:$A,A21,Lines!$C:$C,TRUE)</f>
        <v/>
      </c>
    </row>
    <row r="22">
      <c r="A22" s="4" t="inlineStr">
        <is>
          <t>documentation.drive</t>
        </is>
      </c>
      <c r="B22" s="4" t="inlineStr">
        <is>
          <t>/documentation tagline after the Google Drive link.</t>
        </is>
      </c>
      <c r="C22" s="4" t="inlineStr">
        <is>
          <t>(none)</t>
        </is>
      </c>
      <c r="D22" s="4" t="inlineStr">
        <is>
          <t>Deadpan</t>
        </is>
      </c>
      <c r="E22" s="4" t="inlineStr">
        <is>
          <t>One-line tagline</t>
        </is>
      </c>
      <c r="F22" s="4">
        <f>COUNTIFS(Lines!$A:$A,A22,Lines!$C:$C,TRUE)</f>
        <v/>
      </c>
    </row>
    <row r="23">
      <c r="A23" s="4" t="inlineStr">
        <is>
          <t>documentation.footer</t>
        </is>
      </c>
      <c r="B23" s="4" t="inlineStr">
        <is>
          <t>/documentation embed footer.</t>
        </is>
      </c>
      <c r="C23" s="4" t="inlineStr">
        <is>
          <t>(none)</t>
        </is>
      </c>
      <c r="D23" s="4" t="inlineStr">
        <is>
          <t>Exasperated</t>
        </is>
      </c>
      <c r="E23" s="4" t="inlineStr">
        <is>
          <t>Tell people to read the docs</t>
        </is>
      </c>
      <c r="F23" s="4">
        <f>COUNTIFS(Lines!$A:$A,A23,Lines!$C:$C,TRUE)</f>
        <v/>
      </c>
    </row>
    <row r="24">
      <c r="A24" s="4" t="inlineStr">
        <is>
          <t>help.description</t>
        </is>
      </c>
      <c r="B24" s="4" t="inlineStr">
        <is>
          <t>/help embed description.</t>
        </is>
      </c>
      <c r="C24" s="4" t="inlineStr">
        <is>
          <t>(none)</t>
        </is>
      </c>
      <c r="D24" s="4" t="inlineStr">
        <is>
          <t>Condescending helper</t>
        </is>
      </c>
      <c r="E24" s="4" t="inlineStr">
        <is>
          <t>Introduce the command list</t>
        </is>
      </c>
      <c r="F24" s="4">
        <f>COUNTIFS(Lines!$A:$A,A24,Lines!$C:$C,TRUE)</f>
        <v/>
      </c>
    </row>
    <row r="25">
      <c r="A25" s="4" t="inlineStr">
        <is>
          <t>help.footer</t>
        </is>
      </c>
      <c r="B25" s="4" t="inlineStr">
        <is>
          <t>/help embed footer.</t>
        </is>
      </c>
      <c r="C25" s="4" t="inlineStr">
        <is>
          <t>(none)</t>
        </is>
      </c>
      <c r="D25" s="4" t="inlineStr">
        <is>
          <t>Smug</t>
        </is>
      </c>
      <c r="E25" s="4" t="inlineStr">
        <is>
          <t>Sign off</t>
        </is>
      </c>
      <c r="F25" s="4">
        <f>COUNTIFS(Lines!$A:$A,A25,Lines!$C:$C,TRUE)</f>
        <v/>
      </c>
    </row>
    <row r="26">
      <c r="A26" s="4" t="inlineStr">
        <is>
          <t>info.intro</t>
        </is>
      </c>
      <c r="B26" s="4" t="inlineStr">
        <is>
          <t>/setup info_channel — opening line of the full feature rundown.</t>
        </is>
      </c>
      <c r="C26" s="4" t="inlineStr">
        <is>
          <t>(none)</t>
        </is>
      </c>
      <c r="D26" s="4" t="inlineStr">
        <is>
          <t>Self-important</t>
        </is>
      </c>
      <c r="E26" s="4" t="inlineStr">
        <is>
          <t>Introduce the rundown</t>
        </is>
      </c>
      <c r="F26" s="4">
        <f>COUNTIFS(Lines!$A:$A,A26,Lines!$C:$C,TRUE)</f>
        <v/>
      </c>
    </row>
    <row r="27">
      <c r="A27" s="4" t="inlineStr">
        <is>
          <t>info.outro</t>
        </is>
      </c>
      <c r="B27" s="4" t="inlineStr">
        <is>
          <t>/setup info_channel — footer of the full feature rundown.</t>
        </is>
      </c>
      <c r="C27" s="4" t="inlineStr">
        <is>
          <t>(none)</t>
        </is>
      </c>
      <c r="D27" s="4" t="inlineStr">
        <is>
          <t>Dry warning</t>
        </is>
      </c>
      <c r="E27" s="4" t="inlineStr">
        <is>
          <t>Tell people to keep it</t>
        </is>
      </c>
      <c r="F27" s="4">
        <f>COUNTIFS(Lines!$A:$A,A27,Lines!$C:$C,TRUE)</f>
        <v/>
      </c>
    </row>
    <row r="28">
      <c r="A28" s="4" t="inlineStr">
        <is>
          <t>repo.intro</t>
        </is>
      </c>
      <c r="B28" s="4" t="inlineStr">
        <is>
          <t>/repo — opening line before the setup steps.</t>
        </is>
      </c>
      <c r="C28" s="4" t="inlineStr">
        <is>
          <t>(none)</t>
        </is>
      </c>
      <c r="D28" s="4" t="inlineStr">
        <is>
          <t>Condescending helper</t>
        </is>
      </c>
      <c r="E28" s="4" t="inlineStr">
        <is>
          <t>Kick off the SVN walkthrough</t>
        </is>
      </c>
      <c r="F28" s="4">
        <f>COUNTIFS(Lines!$A:$A,A28,Lines!$C:$C,TRUE)</f>
        <v/>
      </c>
    </row>
    <row r="29">
      <c r="A29" s="4" t="inlineStr">
        <is>
          <t>repo.password</t>
        </is>
      </c>
      <c r="B29" s="4" t="inlineStr">
        <is>
          <t>/repo — line after the sign-up link, about picking a password. Never put the real admin passphrase here.</t>
        </is>
      </c>
      <c r="C29" s="4" t="inlineStr">
        <is>
          <t>(none)</t>
        </is>
      </c>
      <c r="D29" s="4" t="inlineStr">
        <is>
          <t>Dismissive</t>
        </is>
      </c>
      <c r="E29" s="4" t="inlineStr">
        <is>
          <t>Tell them to pick their own password</t>
        </is>
      </c>
      <c r="F29" s="4">
        <f>COUNTIFS(Lines!$A:$A,A29,Lines!$C:$C,TRUE)</f>
        <v/>
      </c>
    </row>
    <row r="30">
      <c r="A30" s="4" t="inlineStr">
        <is>
          <t>repo.outro</t>
        </is>
      </c>
      <c r="B30" s="4" t="inlineStr">
        <is>
          <t>/repo — closing line after the checkout command.</t>
        </is>
      </c>
      <c r="C30" s="4" t="inlineStr">
        <is>
          <t>(none)</t>
        </is>
      </c>
      <c r="D30" s="4" t="inlineStr">
        <is>
          <t>Backhanded praise</t>
        </is>
      </c>
      <c r="E30" s="4" t="inlineStr">
        <is>
          <t>Close out the walkthrough</t>
        </is>
      </c>
      <c r="F30" s="4">
        <f>COUNTIFS(Lines!$A:$A,A30,Lines!$C:$C,TRUE)</f>
        <v/>
      </c>
    </row>
    <row r="31">
      <c r="A31" s="4" t="inlineStr">
        <is>
          <t>officehours.intro</t>
        </is>
      </c>
      <c r="B31" s="4" t="inlineStr">
        <is>
          <t>First line of the automatic office hours announcement.</t>
        </is>
      </c>
      <c r="C31" s="4" t="inlineStr">
        <is>
          <t>(none)</t>
        </is>
      </c>
      <c r="D31" s="4" t="inlineStr">
        <is>
          <t>Commanding, sarcastic</t>
        </is>
      </c>
      <c r="E31" s="4" t="inlineStr">
        <is>
          <t>Grab attention for the announcement</t>
        </is>
      </c>
      <c r="F31" s="4">
        <f>COUNTIFS(Lines!$A:$A,A31,Lines!$C:$C,TRUE)</f>
        <v/>
      </c>
    </row>
    <row r="32">
      <c r="A32" s="4" t="inlineStr">
        <is>
          <t>officehours.outro</t>
        </is>
      </c>
      <c r="B32" s="4" t="inlineStr">
        <is>
          <t>Last line (italic) of the automatic office hours announcement.</t>
        </is>
      </c>
      <c r="C32" s="4" t="inlineStr">
        <is>
          <t>(none)</t>
        </is>
      </c>
      <c r="D32" s="4" t="inlineStr">
        <is>
          <t>Dry warning</t>
        </is>
      </c>
      <c r="E32" s="4" t="inlineStr">
        <is>
          <t>Nudge people to ask good questions</t>
        </is>
      </c>
      <c r="F32" s="4">
        <f>COUNTIFS(Lines!$A:$A,A32,Lines!$C:$C,TRUE)</f>
        <v/>
      </c>
    </row>
    <row r="33">
      <c r="A33" s="4" t="inlineStr">
        <is>
          <t>officehours.nobody_today</t>
        </is>
      </c>
      <c r="B33" s="4" t="inlineStr">
        <is>
          <t>/officehours when nobody is scheduled today.</t>
        </is>
      </c>
      <c r="C33" s="4" t="inlineStr">
        <is>
          <t>(none)</t>
        </is>
      </c>
      <c r="D33" s="4" t="inlineStr">
        <is>
          <t>Deadpan</t>
        </is>
      </c>
      <c r="E33" s="4" t="inlineStr">
        <is>
          <t>Say there are no hours today</t>
        </is>
      </c>
      <c r="F33" s="4">
        <f>COUNTIFS(Lines!$A:$A,A33,Lines!$C:$C,TRUE)</f>
        <v/>
      </c>
    </row>
    <row r="34">
      <c r="A34" s="4" t="inlineStr">
        <is>
          <t>officehours.today_subtitle</t>
        </is>
      </c>
      <c r="B34" s="4" t="inlineStr">
        <is>
          <t>/officehours — italic line under the header.</t>
        </is>
      </c>
      <c r="C34" s="4" t="inlineStr">
        <is>
          <t>(none)</t>
        </is>
      </c>
      <c r="D34" s="4" t="inlineStr">
        <is>
          <t>Deadpan</t>
        </is>
      </c>
      <c r="E34" s="4" t="inlineStr">
        <is>
          <t>Introduce today's hosts</t>
        </is>
      </c>
      <c r="F34" s="4">
        <f>COUNTIFS(Lines!$A:$A,A34,Lines!$C:$C,TRUE)</f>
        <v/>
      </c>
    </row>
    <row r="35">
      <c r="A35" s="4" t="inlineStr">
        <is>
          <t>officehours.schedule_subtitle</t>
        </is>
      </c>
      <c r="B35" s="4" t="inlineStr">
        <is>
          <t>/schedule — italic line under the header.</t>
        </is>
      </c>
      <c r="C35" s="4" t="inlineStr">
        <is>
          <t>(none)</t>
        </is>
      </c>
      <c r="D35" s="4" t="inlineStr">
        <is>
          <t>Deadpan</t>
        </is>
      </c>
      <c r="E35" s="4" t="inlineStr">
        <is>
          <t>Introduce the weekly schedule</t>
        </is>
      </c>
      <c r="F35" s="4">
        <f>COUNTIFS(Lines!$A:$A,A35,Lines!$C:$C,TRUE)</f>
        <v/>
      </c>
    </row>
    <row r="36">
      <c r="A36" s="4" t="inlineStr">
        <is>
          <t>officehours.fetch_error</t>
        </is>
      </c>
      <c r="B36" s="4" t="inlineStr">
        <is>
          <t>/officehours or /schedule when the schedule can't be loaded.</t>
        </is>
      </c>
      <c r="C36" s="4" t="inlineStr">
        <is>
          <t>(none)</t>
        </is>
      </c>
      <c r="D36" s="4" t="inlineStr">
        <is>
          <t>Blame-deflecting</t>
        </is>
      </c>
      <c r="E36" s="4" t="inlineStr">
        <is>
          <t>Error message with personality</t>
        </is>
      </c>
      <c r="F36" s="4">
        <f>COUNTIFS(Lines!$A:$A,A36,Lines!$C:$C,TRUE)</f>
        <v/>
      </c>
    </row>
    <row r="37">
      <c r="A37" s="4" t="inlineStr">
        <is>
          <t>commit.no_message</t>
        </is>
      </c>
      <c r="B37" s="4" t="inlineStr">
        <is>
          <t>Stands in for the message on an SVN commit with no commit message.</t>
        </is>
      </c>
      <c r="C37" s="4" t="inlineStr">
        <is>
          <t>(none)</t>
        </is>
      </c>
      <c r="D37" s="4" t="inlineStr">
        <is>
          <t>Roast</t>
        </is>
      </c>
      <c r="E37" s="4" t="inlineStr">
        <is>
          <t>Shame blank commit messages</t>
        </is>
      </c>
      <c r="F37" s="4">
        <f>COUNTIFS(Lines!$A:$A,A37,Lines!$C:$C,TRUE)</f>
        <v/>
      </c>
    </row>
    <row r="38">
      <c r="A38" s="4" t="inlineStr">
        <is>
          <t>reminder.halfway_intro</t>
        </is>
      </c>
      <c r="B38" s="4" t="inlineStr">
        <is>
          <t>First line of a task-reminder DM in the first half of the sprint.</t>
        </is>
      </c>
      <c r="C38" s="4" t="inlineStr">
        <is>
          <t>{sprint}</t>
        </is>
      </c>
      <c r="D38" s="4" t="inlineStr">
        <is>
          <t>Passive-aggressive nudge</t>
        </is>
      </c>
      <c r="E38" s="4" t="inlineStr">
        <is>
          <t>First-half task reminder</t>
        </is>
      </c>
      <c r="F38" s="4">
        <f>COUNTIFS(Lines!$A:$A,A38,Lines!$C:$C,TRUE)</f>
        <v/>
      </c>
    </row>
    <row r="39">
      <c r="A39" s="4" t="inlineStr">
        <is>
          <t>reminder.final_intro</t>
        </is>
      </c>
      <c r="B39" s="4" t="inlineStr">
        <is>
          <t>First line of a task-reminder DM in the second half of the sprint.</t>
        </is>
      </c>
      <c r="C39" s="4" t="inlineStr">
        <is>
          <t>{sprint}</t>
        </is>
      </c>
      <c r="D39" s="4" t="inlineStr">
        <is>
          <t>Urgent pressure</t>
        </is>
      </c>
      <c r="E39" s="4" t="inlineStr">
        <is>
          <t>Deadline task reminder</t>
        </is>
      </c>
      <c r="F39" s="4">
        <f>COUNTIFS(Lines!$A:$A,A39,Lines!$C:$C,TRUE)</f>
        <v/>
      </c>
    </row>
    <row r="40">
      <c r="A40" s="4" t="inlineStr">
        <is>
          <t>reminder.signoff</t>
        </is>
      </c>
      <c r="B40" s="4" t="inlineStr">
        <is>
          <t>Last line of a task-reminder DM.</t>
        </is>
      </c>
      <c r="C40" s="4" t="inlineStr">
        <is>
          <t>(none)</t>
        </is>
      </c>
      <c r="D40" s="4" t="inlineStr">
        <is>
          <t>Threatening-but-caring</t>
        </is>
      </c>
      <c r="E40" s="4" t="inlineStr">
        <is>
          <t>Close out the DM</t>
        </is>
      </c>
      <c r="F40" s="4">
        <f>COUNTIFS(Lines!$A:$A,A40,Lines!$C:$C,TRUE)</f>
        <v/>
      </c>
    </row>
    <row r="41">
      <c r="A41" s="4" t="inlineStr">
        <is>
          <t>sprint.nothing_open</t>
        </is>
      </c>
      <c r="B41" s="4" t="inlineStr">
        <is>
          <t>/sprint_board when there are no new or in-progress tasks.</t>
        </is>
      </c>
      <c r="C41" s="4" t="inlineStr">
        <is>
          <t>(none)</t>
        </is>
      </c>
      <c r="D41" s="4" t="inlineStr">
        <is>
          <t>Suspicious</t>
        </is>
      </c>
      <c r="E41" s="4" t="inlineStr">
        <is>
          <t>Say the board is empty</t>
        </is>
      </c>
      <c r="F41" s="4">
        <f>COUNTIFS(Lines!$A:$A,A41,Lines!$C:$C,TRUE)</f>
        <v/>
      </c>
    </row>
    <row r="42">
      <c r="A42" s="4" t="inlineStr">
        <is>
          <t>tasks.nothing_open</t>
        </is>
      </c>
      <c r="B42" s="4" t="inlineStr">
        <is>
          <t>/my_tasks when the user has no new or in-progress tasks.</t>
        </is>
      </c>
      <c r="C42" s="4" t="inlineStr">
        <is>
          <t>(none)</t>
        </is>
      </c>
      <c r="D42" s="4" t="inlineStr">
        <is>
          <t>Judgy</t>
        </is>
      </c>
      <c r="E42" s="4" t="inlineStr">
        <is>
          <t>Say they have nothing open</t>
        </is>
      </c>
      <c r="F42" s="4">
        <f>COUNTIFS(Lines!$A:$A,A42,Lines!$C:$C,TRUE)</f>
        <v/>
      </c>
    </row>
    <row r="43">
      <c r="A43" s="4" t="inlineStr">
        <is>
          <t>tasks.unknown_user</t>
        </is>
      </c>
      <c r="B43" s="4" t="inlineStr">
        <is>
          <t>/my_tasks when the user isn't in the member list.</t>
        </is>
      </c>
      <c r="C43" s="4" t="inlineStr">
        <is>
          <t>(none)</t>
        </is>
      </c>
      <c r="D43" s="4" t="inlineStr">
        <is>
          <t>Blame-deflecting</t>
        </is>
      </c>
      <c r="E43" s="4" t="inlineStr">
        <is>
          <t>Say he doesn't know who they are</t>
        </is>
      </c>
      <c r="F43" s="4">
        <f>COUNTIFS(Lines!$A:$A,A43,Lines!$C:$C,TRUE)</f>
        <v/>
      </c>
    </row>
    <row r="44">
      <c r="A44" s="4" t="inlineStr">
        <is>
          <t>notes.start</t>
        </is>
      </c>
      <c r="B44" s="4" t="inlineStr">
        <is>
          <t>/takenotes — line after 'Recording' when the recording starts.</t>
        </is>
      </c>
      <c r="C44" s="4" t="inlineStr">
        <is>
          <t>(none)</t>
        </is>
      </c>
      <c r="D44" s="4" t="inlineStr">
        <is>
          <t>Deadpan</t>
        </is>
      </c>
      <c r="E44" s="4" t="inlineStr">
        <is>
          <t>Confirm recording started</t>
        </is>
      </c>
      <c r="F44" s="4">
        <f>COUNTIFS(Lines!$A:$A,A44,Lines!$C:$C,TRUE)</f>
        <v/>
      </c>
    </row>
    <row r="45">
      <c r="A45" s="4" t="inlineStr">
        <is>
          <t>notes.stop</t>
        </is>
      </c>
      <c r="B45" s="4" t="inlineStr">
        <is>
          <t>/stopnotes — first line when the recording stops.</t>
        </is>
      </c>
      <c r="C45" s="4" t="inlineStr">
        <is>
          <t>(none)</t>
        </is>
      </c>
      <c r="D45" s="4" t="inlineStr">
        <is>
          <t>Deadpan</t>
        </is>
      </c>
      <c r="E45" s="4" t="inlineStr">
        <is>
          <t>Confirm recording stopped</t>
        </is>
      </c>
      <c r="F45" s="4">
        <f>COUNTIFS(Lines!$A:$A,A45,Lines!$C:$C,TRUE)</f>
        <v/>
      </c>
    </row>
    <row r="46">
      <c r="A46" s="4" t="inlineStr">
        <is>
          <t>notes.no_session</t>
        </is>
      </c>
      <c r="B46" s="4" t="inlineStr">
        <is>
          <t>/stopnotes with nothing recording.</t>
        </is>
      </c>
      <c r="C46" s="4" t="inlineStr">
        <is>
          <t>(none)</t>
        </is>
      </c>
      <c r="D46" s="4" t="inlineStr">
        <is>
          <t>Dry</t>
        </is>
      </c>
      <c r="E46" s="4" t="inlineStr">
        <is>
          <t>Explain there's nothing to stop</t>
        </is>
      </c>
      <c r="F46" s="4">
        <f>COUNTIFS(Lines!$A:$A,A46,Lines!$C:$C,TRUE)</f>
        <v/>
      </c>
    </row>
    <row r="47">
      <c r="A47" s="4" t="inlineStr">
        <is>
          <t>notes.abandoned</t>
        </is>
      </c>
      <c r="B47" s="4" t="inlineStr">
        <is>
          <t>Everyone left the call while recording, so he stops on his own.</t>
        </is>
      </c>
      <c r="C47" s="4" t="inlineStr">
        <is>
          <t>(none)</t>
        </is>
      </c>
      <c r="D47" s="4" t="inlineStr">
        <is>
          <t>Resigned</t>
        </is>
      </c>
      <c r="E47" s="4" t="inlineStr">
        <is>
          <t>Note the automatic stop</t>
        </is>
      </c>
      <c r="F47" s="4">
        <f>COUNTIFS(Lines!$A:$A,A47,Lines!$C:$C,TRUE)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2026-10-15T22:28:41Z</dcterms:created>
  <dcterms:modified xsi:type="dcterms:W3CDTF">2026-10-15T22:28:41Z</dcterms:modified>
</cp:coreProperties>
</file>